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ificacion pH" sheetId="1" r:id="rId4"/>
    <sheet state="visible" name="Cuantificacion Amylo" sheetId="2" r:id="rId5"/>
    <sheet state="visible" name="Cuantificacion Subtilis" sheetId="3" r:id="rId6"/>
    <sheet state="visible" name="Cuantificacion Licheni" sheetId="4" r:id="rId7"/>
    <sheet state="visible" name="Cuantificacion UORA" sheetId="5" r:id="rId8"/>
    <sheet state="visible" name="Total" sheetId="6" r:id="rId9"/>
    <sheet state="visible" name="Promedios " sheetId="7" r:id="rId10"/>
  </sheets>
  <definedNames/>
  <calcPr/>
  <extLst>
    <ext uri="GoogleSheetsCustomDataVersion2">
      <go:sheetsCustomData xmlns:go="http://customooxmlschemas.google.com/" r:id="rId11" roundtripDataChecksum="0m92gUJ2ARfLXqXsMv4DNxfkYtsQvH77WNHj40GSvUc="/>
    </ext>
  </extLst>
</workbook>
</file>

<file path=xl/sharedStrings.xml><?xml version="1.0" encoding="utf-8"?>
<sst xmlns="http://schemas.openxmlformats.org/spreadsheetml/2006/main" count="388" uniqueCount="48">
  <si>
    <t xml:space="preserve">Exposición </t>
  </si>
  <si>
    <t>Neutralización</t>
  </si>
  <si>
    <t>Ensayo 1</t>
  </si>
  <si>
    <t xml:space="preserve">pH observado </t>
  </si>
  <si>
    <t>pH esperado</t>
  </si>
  <si>
    <t>Autoclave</t>
  </si>
  <si>
    <t>UORA</t>
  </si>
  <si>
    <t>B.amyloliquefaciens</t>
  </si>
  <si>
    <t>B. subtilis</t>
  </si>
  <si>
    <t>B.licheniformis</t>
  </si>
  <si>
    <t>Ensayo 2</t>
  </si>
  <si>
    <t>Ensayo 3</t>
  </si>
  <si>
    <t>Ensayo 4</t>
  </si>
  <si>
    <t>Ensayo 5</t>
  </si>
  <si>
    <t>Dilucion</t>
  </si>
  <si>
    <t>Concepto</t>
  </si>
  <si>
    <t>Valor</t>
  </si>
  <si>
    <t>Dilucion polvo en PBS</t>
  </si>
  <si>
    <t>Dilucion suspension en PBS ajustado</t>
  </si>
  <si>
    <t xml:space="preserve">Neutralizacion </t>
  </si>
  <si>
    <t>Total</t>
  </si>
  <si>
    <t>Volumen inoculado (mL)</t>
  </si>
  <si>
    <t>pH</t>
  </si>
  <si>
    <t>UFC/g A</t>
  </si>
  <si>
    <t>UFC/g B</t>
  </si>
  <si>
    <t>UFC/g C</t>
  </si>
  <si>
    <t>UFC /promedio</t>
  </si>
  <si>
    <t>Desviación estándar</t>
  </si>
  <si>
    <t>Logaritmo</t>
  </si>
  <si>
    <t xml:space="preserve">Promedio </t>
  </si>
  <si>
    <t>Promedio</t>
  </si>
  <si>
    <t>B. licheniformis</t>
  </si>
  <si>
    <t>pH 2</t>
  </si>
  <si>
    <t>pH 4</t>
  </si>
  <si>
    <t>pH 7</t>
  </si>
  <si>
    <t>SD</t>
  </si>
  <si>
    <t>Subtilis</t>
  </si>
  <si>
    <t>Amylo</t>
  </si>
  <si>
    <t>Licheni</t>
  </si>
  <si>
    <t>UFC UORA</t>
  </si>
  <si>
    <t>Desvest UORA</t>
  </si>
  <si>
    <t>UFC B. subtilis</t>
  </si>
  <si>
    <t>Desvest B. subtilis</t>
  </si>
  <si>
    <t>UFC B. amyloliquefaciens</t>
  </si>
  <si>
    <t>Desvest B. amyloliquefaciens</t>
  </si>
  <si>
    <t>UFC B.licheniformis</t>
  </si>
  <si>
    <t>Desvest B.licheniformis</t>
  </si>
  <si>
    <t>B. amyloliquefaciens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</si>
</sst>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/>
    <font>
      <b/>
      <i/>
      <sz val="10.0"/>
      <color theme="1"/>
      <name val="Arial"/>
    </font>
    <font>
      <b/>
      <sz val="10.0"/>
      <color rgb="FF000000"/>
      <name val="Calibri"/>
    </font>
    <font>
      <sz val="11.0"/>
      <color rgb="FF000000"/>
      <name val="Calibri"/>
    </font>
    <font>
      <sz val="10.0"/>
      <color rgb="FF000000"/>
      <name val="Calibri"/>
    </font>
    <font>
      <b/>
      <sz val="11.0"/>
      <color rgb="FF000000"/>
      <name val="Calibri"/>
    </font>
    <font>
      <sz val="10.0"/>
      <color rgb="FF000000"/>
      <name val="Arial"/>
    </font>
    <font>
      <b/>
      <i/>
      <sz val="10.0"/>
      <color rgb="FF000000"/>
      <name val="Arial"/>
    </font>
    <font>
      <b/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hair">
        <color rgb="FF000000"/>
      </bottom>
    </border>
    <border>
      <right style="hair">
        <color rgb="FF000000"/>
      </right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hair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0" fillId="0" fontId="1" numFmtId="0" xfId="0" applyFont="1"/>
    <xf borderId="3" fillId="0" fontId="2" numFmtId="0" xfId="0" applyAlignment="1" applyBorder="1" applyFont="1">
      <alignment horizontal="center"/>
    </xf>
    <xf borderId="3" fillId="0" fontId="1" numFmtId="20" xfId="0" applyAlignment="1" applyBorder="1" applyFont="1" applyNumberFormat="1">
      <alignment horizontal="center"/>
    </xf>
    <xf borderId="4" fillId="0" fontId="1" numFmtId="0" xfId="0" applyBorder="1" applyFont="1"/>
    <xf borderId="4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8" fillId="0" fontId="7" numFmtId="11" xfId="0" applyAlignment="1" applyBorder="1" applyFont="1" applyNumberFormat="1">
      <alignment horizontal="center"/>
    </xf>
    <xf borderId="9" fillId="0" fontId="6" numFmtId="0" xfId="0" applyAlignment="1" applyBorder="1" applyFont="1">
      <alignment horizontal="center"/>
    </xf>
    <xf borderId="6" fillId="0" fontId="8" numFmtId="0" xfId="0" applyAlignment="1" applyBorder="1" applyFont="1">
      <alignment horizontal="center"/>
    </xf>
    <xf borderId="10" fillId="0" fontId="5" numFmtId="11" xfId="0" applyAlignment="1" applyBorder="1" applyFont="1" applyNumberFormat="1">
      <alignment horizontal="center"/>
    </xf>
    <xf borderId="11" fillId="0" fontId="8" numFmtId="0" xfId="0" applyAlignment="1" applyBorder="1" applyFont="1">
      <alignment horizontal="center"/>
    </xf>
    <xf borderId="6" fillId="0" fontId="8" numFmtId="0" xfId="0" applyBorder="1" applyFont="1"/>
    <xf borderId="11" fillId="0" fontId="8" numFmtId="0" xfId="0" applyBorder="1" applyFont="1"/>
    <xf borderId="11" fillId="0" fontId="5" numFmtId="0" xfId="0" applyAlignment="1" applyBorder="1" applyFont="1">
      <alignment horizontal="center" vertical="center"/>
    </xf>
    <xf borderId="0" fillId="0" fontId="7" numFmtId="11" xfId="0" applyAlignment="1" applyFont="1" applyNumberFormat="1">
      <alignment horizontal="center"/>
    </xf>
    <xf borderId="12" fillId="0" fontId="7" numFmtId="11" xfId="0" applyAlignment="1" applyBorder="1" applyFont="1" applyNumberFormat="1">
      <alignment horizontal="center" vertical="center"/>
    </xf>
    <xf borderId="5" fillId="0" fontId="5" numFmtId="11" xfId="0" applyAlignment="1" applyBorder="1" applyFont="1" applyNumberFormat="1">
      <alignment horizontal="center"/>
    </xf>
    <xf borderId="13" fillId="0" fontId="9" numFmtId="0" xfId="0" applyBorder="1" applyFont="1"/>
    <xf borderId="10" fillId="0" fontId="5" numFmtId="2" xfId="0" applyAlignment="1" applyBorder="1" applyFont="1" applyNumberFormat="1">
      <alignment horizontal="center"/>
    </xf>
    <xf borderId="14" fillId="0" fontId="9" numFmtId="0" xfId="0" applyBorder="1" applyFont="1"/>
    <xf borderId="0" fillId="0" fontId="9" numFmtId="0" xfId="0" applyFont="1"/>
    <xf borderId="4" fillId="0" fontId="9" numFmtId="0" xfId="0" applyBorder="1" applyFont="1"/>
    <xf borderId="1" fillId="0" fontId="10" numFmtId="0" xfId="0" applyAlignment="1" applyBorder="1" applyFont="1">
      <alignment horizontal="center"/>
    </xf>
    <xf borderId="4" fillId="0" fontId="11" numFmtId="0" xfId="0" applyBorder="1" applyFont="1"/>
    <xf borderId="0" fillId="0" fontId="12" numFmtId="0" xfId="0" applyFont="1"/>
    <xf borderId="0" fillId="0" fontId="11" numFmtId="0" xfId="0" applyFont="1"/>
    <xf borderId="1" fillId="0" fontId="1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Estabilidad frente a pH </a:t>
            </a:r>
          </a:p>
        </c:rich>
      </c:tx>
      <c:layout>
        <c:manualLayout>
          <c:xMode val="edge"/>
          <c:yMode val="edge"/>
          <c:x val="0.3859663423024764"/>
          <c:y val="0.08853879124465223"/>
        </c:manualLayout>
      </c:layout>
      <c:overlay val="0"/>
    </c:title>
    <c:plotArea>
      <c:layout>
        <c:manualLayout>
          <c:xMode val="edge"/>
          <c:yMode val="edge"/>
          <c:x val="0.1877772566955798"/>
          <c:y val="0.17745703445178154"/>
          <c:w val="0.742407417447121"/>
          <c:h val="0.5594423284473775"/>
        </c:manualLayout>
      </c:layout>
      <c:barChart>
        <c:barDir val="col"/>
        <c:ser>
          <c:idx val="0"/>
          <c:order val="0"/>
          <c:tx>
            <c:v>UFC /promedio</c:v>
          </c:tx>
          <c:spPr>
            <a:solidFill>
              <a:srgbClr val="35A568"/>
            </a:solidFill>
            <a:ln cmpd="sng">
              <a:solidFill>
                <a:srgbClr val="000000"/>
              </a:solidFill>
            </a:ln>
          </c:spPr>
          <c:cat>
            <c:strRef>
              <c:f>'Cuantificacion Amylo'!$C$30:$E$30</c:f>
            </c:strRef>
          </c:cat>
          <c:val>
            <c:numRef>
              <c:f>'Cuantificacion Amylo'!$C$31:$E$31</c:f>
              <c:numCache/>
            </c:numRef>
          </c:val>
        </c:ser>
        <c:axId val="2106498873"/>
        <c:axId val="349550533"/>
      </c:barChart>
      <c:catAx>
        <c:axId val="2106498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pH</a:t>
                </a:r>
              </a:p>
            </c:rich>
          </c:tx>
          <c:layout>
            <c:manualLayout>
              <c:xMode val="edge"/>
              <c:yMode val="edge"/>
              <c:x val="0.5425202441697663"/>
              <c:y val="0.8304902101061702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349550533"/>
      </c:catAx>
      <c:valAx>
        <c:axId val="349550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log₁₀ (UFG/g)</a:t>
                </a:r>
              </a:p>
            </c:rich>
          </c:tx>
          <c:layout>
            <c:manualLayout>
              <c:xMode val="edge"/>
              <c:yMode val="edge"/>
              <c:x val="0.04814850059124084"/>
              <c:y val="0.331695459756015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210649887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Estabilidad frente a pH </a:t>
            </a:r>
          </a:p>
        </c:rich>
      </c:tx>
      <c:layout>
        <c:manualLayout>
          <c:xMode val="edge"/>
          <c:yMode val="edge"/>
          <c:x val="0.3859663423024764"/>
          <c:y val="0.08853879124465223"/>
        </c:manualLayout>
      </c:layout>
      <c:overlay val="0"/>
    </c:title>
    <c:plotArea>
      <c:layout>
        <c:manualLayout>
          <c:xMode val="edge"/>
          <c:yMode val="edge"/>
          <c:x val="0.1877772566955798"/>
          <c:y val="0.17745703445178154"/>
          <c:w val="0.742407417447121"/>
          <c:h val="0.5594423284473775"/>
        </c:manualLayout>
      </c:layout>
      <c:barChart>
        <c:barDir val="col"/>
        <c:ser>
          <c:idx val="0"/>
          <c:order val="0"/>
          <c:tx>
            <c:v>UFC /promedio</c:v>
          </c:tx>
          <c:spPr>
            <a:solidFill>
              <a:srgbClr val="FFCD2F"/>
            </a:solidFill>
            <a:ln cmpd="sng">
              <a:solidFill>
                <a:srgbClr val="000000"/>
              </a:solidFill>
            </a:ln>
          </c:spPr>
          <c:val>
            <c:numRef>
              <c:f>'Cuantificacion Subtilis'!$C$31:$E$31</c:f>
              <c:numCache/>
            </c:numRef>
          </c:val>
        </c:ser>
        <c:axId val="342956290"/>
        <c:axId val="1773648693"/>
      </c:barChart>
      <c:catAx>
        <c:axId val="342956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pH</a:t>
                </a:r>
              </a:p>
            </c:rich>
          </c:tx>
          <c:layout>
            <c:manualLayout>
              <c:xMode val="edge"/>
              <c:yMode val="edge"/>
              <c:x val="0.5425202441697663"/>
              <c:y val="0.8304902101061702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773648693"/>
      </c:catAx>
      <c:valAx>
        <c:axId val="1773648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log₁₀ (UFG/g)</a:t>
                </a:r>
              </a:p>
            </c:rich>
          </c:tx>
          <c:layout>
            <c:manualLayout>
              <c:xMode val="edge"/>
              <c:yMode val="edge"/>
              <c:x val="0.04814850059124084"/>
              <c:y val="0.331695459756015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34295629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Estabilidad frente a pH </a:t>
            </a:r>
          </a:p>
        </c:rich>
      </c:tx>
      <c:layout>
        <c:manualLayout>
          <c:xMode val="edge"/>
          <c:yMode val="edge"/>
          <c:x val="0.3859663423024764"/>
          <c:y val="0.08853879124465223"/>
        </c:manualLayout>
      </c:layout>
      <c:overlay val="0"/>
    </c:title>
    <c:plotArea>
      <c:layout>
        <c:manualLayout>
          <c:xMode val="edge"/>
          <c:yMode val="edge"/>
          <c:x val="0.1877772566955798"/>
          <c:y val="0.17745703445178154"/>
          <c:w val="0.742407417447121"/>
          <c:h val="0.5594423284473775"/>
        </c:manualLayout>
      </c:layout>
      <c:barChart>
        <c:barDir val="col"/>
        <c:ser>
          <c:idx val="0"/>
          <c:order val="0"/>
          <c:tx>
            <c:v>UFC /promedio</c:v>
          </c:tx>
          <c:spPr>
            <a:solidFill>
              <a:srgbClr val="29ADFF"/>
            </a:solidFill>
            <a:ln cmpd="sng">
              <a:solidFill>
                <a:srgbClr val="000000"/>
              </a:solidFill>
            </a:ln>
          </c:spPr>
          <c:val>
            <c:numRef>
              <c:f>'Cuantificacion Licheni'!$C$31:$E$31</c:f>
              <c:numCache/>
            </c:numRef>
          </c:val>
        </c:ser>
        <c:axId val="1307607985"/>
        <c:axId val="1064918152"/>
      </c:barChart>
      <c:catAx>
        <c:axId val="1307607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pH</a:t>
                </a:r>
              </a:p>
            </c:rich>
          </c:tx>
          <c:layout>
            <c:manualLayout>
              <c:xMode val="edge"/>
              <c:yMode val="edge"/>
              <c:x val="0.5425202441697663"/>
              <c:y val="0.8304902101061702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064918152"/>
      </c:catAx>
      <c:valAx>
        <c:axId val="1064918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log₁₀ (UFG/g)</a:t>
                </a:r>
              </a:p>
            </c:rich>
          </c:tx>
          <c:layout>
            <c:manualLayout>
              <c:xMode val="edge"/>
              <c:yMode val="edge"/>
              <c:x val="0.04814850059124084"/>
              <c:y val="0.331695459756015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30760798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Estabilidad frente a pH </a:t>
            </a:r>
          </a:p>
        </c:rich>
      </c:tx>
      <c:layout>
        <c:manualLayout>
          <c:xMode val="edge"/>
          <c:yMode val="edge"/>
          <c:x val="0.3859663423024764"/>
          <c:y val="0.08853879124465223"/>
        </c:manualLayout>
      </c:layout>
      <c:overlay val="0"/>
    </c:title>
    <c:plotArea>
      <c:layout>
        <c:manualLayout>
          <c:xMode val="edge"/>
          <c:yMode val="edge"/>
          <c:x val="0.1877772566955798"/>
          <c:y val="0.17745703445178154"/>
          <c:w val="0.742407417447121"/>
          <c:h val="0.5594423284473775"/>
        </c:manualLayout>
      </c:layout>
      <c:barChart>
        <c:barDir val="col"/>
        <c:ser>
          <c:idx val="0"/>
          <c:order val="0"/>
          <c:tx>
            <c:v>UFC /promedio</c:v>
          </c:tx>
          <c:spPr>
            <a:solidFill>
              <a:srgbClr val="91DBB2"/>
            </a:solidFill>
            <a:ln cmpd="sng">
              <a:solidFill>
                <a:srgbClr val="000000"/>
              </a:solidFill>
            </a:ln>
          </c:spPr>
          <c:cat>
            <c:strRef>
              <c:f>'Cuantificacion UORA'!$C$30:$E$30</c:f>
            </c:strRef>
          </c:cat>
          <c:val>
            <c:numRef>
              <c:f>'Cuantificacion UORA'!$C$31:$E$31</c:f>
              <c:numCache/>
            </c:numRef>
          </c:val>
        </c:ser>
        <c:axId val="1757989914"/>
        <c:axId val="918300259"/>
      </c:barChart>
      <c:catAx>
        <c:axId val="1757989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pH</a:t>
                </a:r>
              </a:p>
            </c:rich>
          </c:tx>
          <c:layout>
            <c:manualLayout>
              <c:xMode val="edge"/>
              <c:yMode val="edge"/>
              <c:x val="0.5425202441697663"/>
              <c:y val="0.8304902101061702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918300259"/>
      </c:catAx>
      <c:valAx>
        <c:axId val="918300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log₁₀ (UFG/g)</a:t>
                </a:r>
              </a:p>
            </c:rich>
          </c:tx>
          <c:layout>
            <c:manualLayout>
              <c:xMode val="edge"/>
              <c:yMode val="edge"/>
              <c:x val="0.04814850059124084"/>
              <c:y val="0.331695459756015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757989914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Estabilidad frente a pH </a:t>
            </a:r>
          </a:p>
        </c:rich>
      </c:tx>
      <c:layout>
        <c:manualLayout>
          <c:xMode val="edge"/>
          <c:yMode val="edge"/>
          <c:x val="0.4225160012893125"/>
          <c:y val="0.07153195136322248"/>
        </c:manualLayout>
      </c:layout>
      <c:overlay val="0"/>
    </c:title>
    <c:plotArea>
      <c:layout>
        <c:manualLayout>
          <c:xMode val="edge"/>
          <c:yMode val="edge"/>
          <c:x val="0.1877772566955798"/>
          <c:y val="0.17745703445178154"/>
          <c:w val="0.6307308790348575"/>
          <c:h val="0.5594423284473775"/>
        </c:manualLayout>
      </c:layout>
      <c:barChart>
        <c:barDir val="col"/>
        <c:ser>
          <c:idx val="0"/>
          <c:order val="0"/>
          <c:tx>
            <c:v>B. licheniformis</c:v>
          </c:tx>
          <c:spPr>
            <a:solidFill>
              <a:srgbClr val="29ADFF"/>
            </a:solidFill>
            <a:ln cmpd="sng">
              <a:solidFill>
                <a:srgbClr val="000000"/>
              </a:solidFill>
            </a:ln>
          </c:spPr>
          <c:cat>
            <c:strRef>
              <c:f>'Cuantificacion Amylo'!$C$30:$E$30</c:f>
            </c:strRef>
          </c:cat>
          <c:val>
            <c:numRef>
              <c:f>'Cuantificacion Licheni'!$C$31:$E$31</c:f>
              <c:numCache/>
            </c:numRef>
          </c:val>
        </c:ser>
        <c:ser>
          <c:idx val="1"/>
          <c:order val="1"/>
          <c:tx>
            <c:v>B.subtilis</c:v>
          </c:tx>
          <c:spPr>
            <a:solidFill>
              <a:srgbClr val="FFCD2F"/>
            </a:solidFill>
            <a:ln cmpd="sng">
              <a:solidFill>
                <a:srgbClr val="000000"/>
              </a:solidFill>
            </a:ln>
          </c:spPr>
          <c:cat>
            <c:strRef>
              <c:f>'Cuantificacion Amylo'!$C$30:$E$30</c:f>
            </c:strRef>
          </c:cat>
          <c:val>
            <c:numRef>
              <c:f>'Cuantificacion Subtilis'!$C$31:$E$31</c:f>
              <c:numCache/>
            </c:numRef>
          </c:val>
        </c:ser>
        <c:ser>
          <c:idx val="2"/>
          <c:order val="2"/>
          <c:tx>
            <c:v>B.amyloliquefaciens</c:v>
          </c:tx>
          <c:spPr>
            <a:solidFill>
              <a:srgbClr val="35A568"/>
            </a:solidFill>
            <a:ln cmpd="sng">
              <a:solidFill>
                <a:srgbClr val="000000"/>
              </a:solidFill>
            </a:ln>
          </c:spPr>
          <c:cat>
            <c:strRef>
              <c:f>'Cuantificacion Amylo'!$C$30:$E$30</c:f>
            </c:strRef>
          </c:cat>
          <c:val>
            <c:numRef>
              <c:f>'Cuantificacion Amylo'!$C$31:$E$31</c:f>
              <c:numCache/>
            </c:numRef>
          </c:val>
        </c:ser>
        <c:ser>
          <c:idx val="3"/>
          <c:order val="3"/>
          <c:tx>
            <c:v>UORA</c:v>
          </c:tx>
          <c:spPr>
            <a:solidFill>
              <a:srgbClr val="91DBB2"/>
            </a:solidFill>
            <a:ln cmpd="sng">
              <a:solidFill>
                <a:srgbClr val="000000"/>
              </a:solidFill>
            </a:ln>
          </c:spPr>
          <c:cat>
            <c:strRef>
              <c:f>'Cuantificacion Amylo'!$C$30:$E$30</c:f>
            </c:strRef>
          </c:cat>
          <c:val>
            <c:numRef>
              <c:f>'Cuantificacion UORA'!$C$31:$E$31</c:f>
              <c:numCache/>
            </c:numRef>
          </c:val>
        </c:ser>
        <c:axId val="1723914362"/>
        <c:axId val="1847886118"/>
      </c:barChart>
      <c:catAx>
        <c:axId val="1723914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pH</a:t>
                </a:r>
              </a:p>
            </c:rich>
          </c:tx>
          <c:layout>
            <c:manualLayout>
              <c:xMode val="edge"/>
              <c:yMode val="edge"/>
              <c:x val="0.4928126582861354"/>
              <c:y val="0.8304901173067653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847886118"/>
      </c:catAx>
      <c:valAx>
        <c:axId val="1847886118"/>
        <c:scaling>
          <c:orientation val="minMax"/>
          <c:min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log₁₀ (UFG/g)</a:t>
                </a:r>
              </a:p>
            </c:rich>
          </c:tx>
          <c:layout>
            <c:manualLayout>
              <c:xMode val="edge"/>
              <c:yMode val="edge"/>
              <c:x val="0.08177418612147166"/>
              <c:y val="0.3282942310782580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723914362"/>
        <c:majorUnit val="1.0"/>
      </c:valAx>
    </c:plotArea>
    <c:legend>
      <c:legendPos val="r"/>
      <c:legendEntry>
        <c:idx val="3"/>
        <c:txPr>
          <a:bodyPr/>
          <a:lstStyle/>
          <a:p>
            <a:pPr lvl="0">
              <a:defRPr b="1" i="0"/>
            </a:pPr>
          </a:p>
        </c:txPr>
      </c:legendEntry>
      <c:layout>
        <c:manualLayout>
          <c:xMode val="edge"/>
          <c:yMode val="edge"/>
          <c:x val="0.7947673481604274"/>
          <c:y val="0.3140840430660453"/>
        </c:manualLayout>
      </c:layout>
      <c:overlay val="0"/>
      <c:txPr>
        <a:bodyPr/>
        <a:lstStyle/>
        <a:p>
          <a:pPr lvl="0">
            <a:defRPr b="1" i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571500</xdr:colOff>
      <xdr:row>21</xdr:row>
      <xdr:rowOff>0</xdr:rowOff>
    </xdr:from>
    <xdr:ext cx="5791200" cy="3533775"/>
    <xdr:graphicFrame>
      <xdr:nvGraphicFramePr>
        <xdr:cNvPr id="70264665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304800</xdr:colOff>
      <xdr:row>28</xdr:row>
      <xdr:rowOff>0</xdr:rowOff>
    </xdr:from>
    <xdr:ext cx="5705475" cy="3686175"/>
    <xdr:graphicFrame>
      <xdr:nvGraphicFramePr>
        <xdr:cNvPr id="43415483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21</xdr:row>
      <xdr:rowOff>0</xdr:rowOff>
    </xdr:from>
    <xdr:ext cx="5705475" cy="3533775"/>
    <xdr:graphicFrame>
      <xdr:nvGraphicFramePr>
        <xdr:cNvPr id="97409637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857250</xdr:colOff>
      <xdr:row>28</xdr:row>
      <xdr:rowOff>76200</xdr:rowOff>
    </xdr:from>
    <xdr:ext cx="5829300" cy="3657600"/>
    <xdr:graphicFrame>
      <xdr:nvGraphicFramePr>
        <xdr:cNvPr id="152599575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</xdr:colOff>
      <xdr:row>2</xdr:row>
      <xdr:rowOff>114300</xdr:rowOff>
    </xdr:from>
    <xdr:ext cx="9210675" cy="3581400"/>
    <xdr:graphicFrame>
      <xdr:nvGraphicFramePr>
        <xdr:cNvPr id="164531823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/>
      <c r="C1" s="3" t="s">
        <v>0</v>
      </c>
      <c r="D1" s="4"/>
      <c r="E1" s="4"/>
      <c r="F1" s="5"/>
      <c r="H1" s="1"/>
      <c r="I1" s="3" t="s">
        <v>1</v>
      </c>
      <c r="J1" s="4"/>
      <c r="K1" s="4"/>
      <c r="L1" s="5"/>
    </row>
    <row r="2" ht="15.75" customHeight="1">
      <c r="A2" s="6" t="s">
        <v>2</v>
      </c>
      <c r="B2" s="6"/>
      <c r="C2" s="3" t="s">
        <v>3</v>
      </c>
      <c r="D2" s="4"/>
      <c r="E2" s="4"/>
      <c r="F2" s="5"/>
      <c r="H2" s="6" t="s">
        <v>2</v>
      </c>
      <c r="I2" s="3" t="s">
        <v>3</v>
      </c>
      <c r="J2" s="4"/>
      <c r="K2" s="4"/>
      <c r="L2" s="5"/>
    </row>
    <row r="3" ht="15.75" customHeight="1">
      <c r="A3" s="6" t="s">
        <v>4</v>
      </c>
      <c r="B3" s="6" t="s">
        <v>5</v>
      </c>
      <c r="C3" s="6" t="s">
        <v>6</v>
      </c>
      <c r="D3" s="7" t="s">
        <v>7</v>
      </c>
      <c r="E3" s="7" t="s">
        <v>8</v>
      </c>
      <c r="F3" s="7" t="s">
        <v>9</v>
      </c>
      <c r="G3" s="2"/>
      <c r="H3" s="6" t="s">
        <v>4</v>
      </c>
      <c r="I3" s="6" t="s">
        <v>6</v>
      </c>
      <c r="J3" s="7" t="s">
        <v>7</v>
      </c>
      <c r="K3" s="7" t="s">
        <v>8</v>
      </c>
      <c r="L3" s="7" t="s">
        <v>9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8">
        <v>2.12</v>
      </c>
      <c r="B4" s="8"/>
      <c r="C4" s="8">
        <v>2.69</v>
      </c>
      <c r="D4" s="8">
        <v>2.87</v>
      </c>
      <c r="E4" s="8">
        <v>2.8</v>
      </c>
      <c r="F4" s="8">
        <v>2.84</v>
      </c>
      <c r="H4" s="8">
        <v>2.0</v>
      </c>
      <c r="I4" s="8">
        <v>6.5</v>
      </c>
      <c r="J4" s="8">
        <v>6.61</v>
      </c>
      <c r="K4" s="8">
        <v>6.59</v>
      </c>
      <c r="L4" s="8">
        <v>6.63</v>
      </c>
    </row>
    <row r="5" ht="15.75" customHeight="1">
      <c r="A5" s="8">
        <v>3.99</v>
      </c>
      <c r="B5" s="8"/>
      <c r="C5" s="8">
        <v>5.87</v>
      </c>
      <c r="D5" s="8">
        <v>5.87</v>
      </c>
      <c r="E5" s="8">
        <v>6.08</v>
      </c>
      <c r="F5" s="8">
        <v>6.07</v>
      </c>
      <c r="H5" s="8">
        <v>4.0</v>
      </c>
      <c r="I5" s="8">
        <v>6.87</v>
      </c>
      <c r="J5" s="8">
        <v>6.9</v>
      </c>
      <c r="K5" s="8">
        <v>6.91</v>
      </c>
      <c r="L5" s="8">
        <v>6.93</v>
      </c>
    </row>
    <row r="6" ht="15.75" customHeight="1">
      <c r="A6" s="8">
        <v>7.15</v>
      </c>
      <c r="B6" s="8"/>
      <c r="C6" s="8">
        <v>6.94</v>
      </c>
      <c r="D6" s="8">
        <v>6.94</v>
      </c>
      <c r="E6" s="8">
        <v>6.94</v>
      </c>
      <c r="F6" s="8">
        <v>6.94</v>
      </c>
      <c r="H6" s="8">
        <v>7.0</v>
      </c>
      <c r="I6" s="8">
        <v>7.41</v>
      </c>
      <c r="J6" s="8">
        <v>7.39</v>
      </c>
      <c r="K6" s="8">
        <v>7.38</v>
      </c>
      <c r="L6" s="8">
        <v>7.36</v>
      </c>
    </row>
    <row r="7" ht="15.75" customHeight="1">
      <c r="A7" s="1"/>
    </row>
    <row r="8" ht="15.75" customHeight="1">
      <c r="A8" s="1"/>
    </row>
    <row r="9" ht="15.75" customHeight="1">
      <c r="A9" s="1"/>
      <c r="B9" s="2"/>
      <c r="C9" s="3" t="s">
        <v>0</v>
      </c>
      <c r="D9" s="4"/>
      <c r="E9" s="4"/>
      <c r="F9" s="5"/>
      <c r="H9" s="1"/>
      <c r="I9" s="3" t="s">
        <v>1</v>
      </c>
      <c r="J9" s="4"/>
      <c r="K9" s="4"/>
      <c r="L9" s="5"/>
    </row>
    <row r="10" ht="15.75" customHeight="1">
      <c r="A10" s="6" t="s">
        <v>10</v>
      </c>
      <c r="B10" s="2"/>
      <c r="C10" s="3" t="s">
        <v>3</v>
      </c>
      <c r="D10" s="4"/>
      <c r="E10" s="4"/>
      <c r="F10" s="5"/>
      <c r="H10" s="6" t="s">
        <v>10</v>
      </c>
      <c r="I10" s="3" t="s">
        <v>3</v>
      </c>
      <c r="J10" s="4"/>
      <c r="K10" s="4"/>
      <c r="L10" s="5"/>
    </row>
    <row r="11" ht="15.75" customHeight="1">
      <c r="A11" s="6" t="s">
        <v>4</v>
      </c>
      <c r="B11" s="6" t="s">
        <v>5</v>
      </c>
      <c r="C11" s="6" t="s">
        <v>6</v>
      </c>
      <c r="D11" s="7" t="s">
        <v>7</v>
      </c>
      <c r="E11" s="7" t="s">
        <v>8</v>
      </c>
      <c r="F11" s="7" t="s">
        <v>9</v>
      </c>
      <c r="G11" s="2"/>
      <c r="H11" s="6" t="s">
        <v>4</v>
      </c>
      <c r="I11" s="6" t="s">
        <v>6</v>
      </c>
      <c r="J11" s="7" t="s">
        <v>7</v>
      </c>
      <c r="K11" s="7" t="s">
        <v>8</v>
      </c>
      <c r="L11" s="7" t="s">
        <v>9</v>
      </c>
    </row>
    <row r="12" ht="15.75" customHeight="1">
      <c r="A12" s="8">
        <v>2.15</v>
      </c>
      <c r="B12" s="8">
        <v>2.1</v>
      </c>
      <c r="C12" s="8">
        <v>2.36</v>
      </c>
      <c r="D12" s="8">
        <v>2.55</v>
      </c>
      <c r="E12" s="8">
        <v>2.53</v>
      </c>
      <c r="F12" s="8">
        <v>2.52</v>
      </c>
      <c r="H12" s="8">
        <v>2.1</v>
      </c>
      <c r="I12" s="8">
        <v>7.28</v>
      </c>
      <c r="J12" s="8">
        <v>7.27</v>
      </c>
      <c r="K12" s="8">
        <v>7.28</v>
      </c>
      <c r="L12" s="8">
        <v>7.31</v>
      </c>
    </row>
    <row r="13" ht="15.75" customHeight="1">
      <c r="A13" s="8">
        <v>4.17</v>
      </c>
      <c r="B13" s="8">
        <v>4.13</v>
      </c>
      <c r="C13" s="8">
        <v>5.5</v>
      </c>
      <c r="D13" s="8">
        <v>5.67</v>
      </c>
      <c r="E13" s="8">
        <v>5.62</v>
      </c>
      <c r="F13" s="8">
        <v>5.75</v>
      </c>
      <c r="H13" s="8">
        <v>4.13</v>
      </c>
      <c r="I13" s="8">
        <v>7.4</v>
      </c>
      <c r="J13" s="8">
        <v>7.37</v>
      </c>
      <c r="K13" s="8">
        <v>7.37</v>
      </c>
      <c r="L13" s="8">
        <v>7.44</v>
      </c>
    </row>
    <row r="14" ht="15.75" customHeight="1">
      <c r="A14" s="8">
        <v>7.15</v>
      </c>
      <c r="B14" s="8">
        <v>7.22</v>
      </c>
      <c r="C14" s="8">
        <v>7.16</v>
      </c>
      <c r="D14" s="8">
        <v>7.13</v>
      </c>
      <c r="E14" s="8">
        <v>7.13</v>
      </c>
      <c r="F14" s="8">
        <v>7.15</v>
      </c>
      <c r="H14" s="8">
        <v>7.22</v>
      </c>
      <c r="I14" s="8">
        <v>7.42</v>
      </c>
      <c r="J14" s="8">
        <v>7.6</v>
      </c>
      <c r="K14" s="8">
        <v>7.6</v>
      </c>
      <c r="L14" s="8">
        <v>7.57</v>
      </c>
    </row>
    <row r="15" ht="15.75" customHeight="1">
      <c r="A15" s="1"/>
    </row>
    <row r="16" ht="15.75" customHeight="1">
      <c r="A16" s="1"/>
    </row>
    <row r="17" ht="15.75" customHeight="1">
      <c r="A17" s="1"/>
      <c r="B17" s="2"/>
      <c r="C17" s="3" t="s">
        <v>0</v>
      </c>
      <c r="D17" s="4"/>
      <c r="E17" s="4"/>
      <c r="F17" s="5"/>
      <c r="H17" s="1"/>
      <c r="I17" s="3" t="s">
        <v>1</v>
      </c>
      <c r="J17" s="4"/>
      <c r="K17" s="4"/>
      <c r="L17" s="5"/>
    </row>
    <row r="18" ht="15.75" customHeight="1">
      <c r="A18" s="6" t="s">
        <v>11</v>
      </c>
      <c r="B18" s="2"/>
      <c r="C18" s="3" t="s">
        <v>3</v>
      </c>
      <c r="D18" s="4"/>
      <c r="E18" s="4"/>
      <c r="F18" s="5"/>
      <c r="H18" s="6" t="s">
        <v>11</v>
      </c>
      <c r="I18" s="3" t="s">
        <v>3</v>
      </c>
      <c r="J18" s="4"/>
      <c r="K18" s="4"/>
      <c r="L18" s="5"/>
    </row>
    <row r="19" ht="15.75" customHeight="1">
      <c r="A19" s="6" t="s">
        <v>4</v>
      </c>
      <c r="B19" s="6" t="s">
        <v>5</v>
      </c>
      <c r="C19" s="6" t="s">
        <v>6</v>
      </c>
      <c r="D19" s="7" t="s">
        <v>7</v>
      </c>
      <c r="E19" s="7" t="s">
        <v>8</v>
      </c>
      <c r="F19" s="7" t="s">
        <v>9</v>
      </c>
      <c r="G19" s="2"/>
      <c r="H19" s="6" t="s">
        <v>4</v>
      </c>
      <c r="I19" s="6" t="s">
        <v>6</v>
      </c>
      <c r="J19" s="7" t="s">
        <v>7</v>
      </c>
      <c r="K19" s="7" t="s">
        <v>8</v>
      </c>
      <c r="L19" s="7" t="s">
        <v>9</v>
      </c>
    </row>
    <row r="20" ht="15.75" customHeight="1">
      <c r="A20" s="8">
        <v>2.15</v>
      </c>
      <c r="B20" s="8">
        <v>2.07</v>
      </c>
      <c r="C20" s="8">
        <v>2.06</v>
      </c>
      <c r="D20" s="8">
        <v>2.08</v>
      </c>
      <c r="E20" s="8">
        <v>2.13</v>
      </c>
      <c r="F20" s="8">
        <v>2.13</v>
      </c>
      <c r="H20" s="8">
        <v>2.1</v>
      </c>
      <c r="I20" s="8">
        <v>7.16</v>
      </c>
      <c r="J20" s="8">
        <v>7.2</v>
      </c>
      <c r="K20" s="8">
        <v>7.21</v>
      </c>
      <c r="L20" s="8">
        <v>7.17</v>
      </c>
    </row>
    <row r="21" ht="15.75" customHeight="1">
      <c r="A21" s="8">
        <v>4.17</v>
      </c>
      <c r="B21" s="8">
        <v>3.93</v>
      </c>
      <c r="C21" s="8">
        <v>5.48</v>
      </c>
      <c r="D21" s="8">
        <v>5.44</v>
      </c>
      <c r="E21" s="8">
        <v>5.49</v>
      </c>
      <c r="F21" s="8">
        <v>5.56</v>
      </c>
      <c r="H21" s="8">
        <v>4.13</v>
      </c>
      <c r="I21" s="8">
        <v>7.14</v>
      </c>
      <c r="J21" s="8">
        <v>7.14</v>
      </c>
      <c r="K21" s="8">
        <v>7.12</v>
      </c>
      <c r="L21" s="8">
        <v>7.29</v>
      </c>
    </row>
    <row r="22" ht="15.75" customHeight="1">
      <c r="A22" s="8">
        <v>7.15</v>
      </c>
      <c r="B22" s="8">
        <v>7.02</v>
      </c>
      <c r="C22" s="8">
        <v>7.02</v>
      </c>
      <c r="D22" s="8">
        <v>6.88</v>
      </c>
      <c r="E22" s="8">
        <v>6.997</v>
      </c>
      <c r="F22" s="8">
        <v>6.98</v>
      </c>
      <c r="H22" s="8">
        <v>7.22</v>
      </c>
      <c r="I22" s="8">
        <v>7.42</v>
      </c>
      <c r="J22" s="8">
        <v>7.37</v>
      </c>
      <c r="K22" s="8">
        <v>7.34</v>
      </c>
      <c r="L22" s="8">
        <v>7.39</v>
      </c>
    </row>
    <row r="23" ht="15.75" customHeight="1">
      <c r="A23" s="1"/>
    </row>
    <row r="24" ht="15.75" customHeight="1">
      <c r="A24" s="1"/>
    </row>
    <row r="25" ht="15.75" customHeight="1">
      <c r="A25" s="9"/>
      <c r="B25" s="9"/>
      <c r="C25" s="3" t="s">
        <v>0</v>
      </c>
      <c r="D25" s="4"/>
      <c r="E25" s="4"/>
      <c r="F25" s="5"/>
      <c r="G25" s="9"/>
      <c r="H25" s="9"/>
      <c r="I25" s="3" t="s">
        <v>1</v>
      </c>
      <c r="J25" s="4"/>
      <c r="K25" s="4"/>
      <c r="L25" s="5"/>
    </row>
    <row r="26" ht="15.75" customHeight="1">
      <c r="A26" s="6" t="s">
        <v>12</v>
      </c>
      <c r="B26" s="9"/>
      <c r="C26" s="3" t="s">
        <v>3</v>
      </c>
      <c r="D26" s="4"/>
      <c r="E26" s="4"/>
      <c r="F26" s="5"/>
      <c r="G26" s="9"/>
      <c r="H26" s="6" t="s">
        <v>12</v>
      </c>
      <c r="I26" s="3" t="s">
        <v>3</v>
      </c>
      <c r="J26" s="4"/>
      <c r="K26" s="4"/>
      <c r="L26" s="5"/>
    </row>
    <row r="27" ht="15.75" customHeight="1">
      <c r="A27" s="6" t="s">
        <v>4</v>
      </c>
      <c r="B27" s="6" t="s">
        <v>5</v>
      </c>
      <c r="C27" s="6" t="s">
        <v>6</v>
      </c>
      <c r="D27" s="7" t="s">
        <v>7</v>
      </c>
      <c r="E27" s="7" t="s">
        <v>8</v>
      </c>
      <c r="F27" s="7" t="s">
        <v>9</v>
      </c>
      <c r="G27" s="9"/>
      <c r="H27" s="6" t="s">
        <v>4</v>
      </c>
      <c r="I27" s="6" t="s">
        <v>6</v>
      </c>
      <c r="J27" s="7" t="s">
        <v>7</v>
      </c>
      <c r="K27" s="7" t="s">
        <v>8</v>
      </c>
      <c r="L27" s="7" t="s">
        <v>9</v>
      </c>
    </row>
    <row r="28" ht="15.75" customHeight="1">
      <c r="A28" s="8">
        <v>2.15</v>
      </c>
      <c r="B28" s="8">
        <v>2.1</v>
      </c>
      <c r="C28" s="8">
        <v>2.36</v>
      </c>
      <c r="D28" s="8">
        <v>2.55</v>
      </c>
      <c r="E28" s="8">
        <v>2.53</v>
      </c>
      <c r="F28" s="8">
        <v>2.52</v>
      </c>
      <c r="G28" s="9"/>
      <c r="H28" s="8">
        <v>2.1</v>
      </c>
      <c r="I28" s="8">
        <v>7.33</v>
      </c>
      <c r="J28" s="8">
        <v>7.37</v>
      </c>
      <c r="K28" s="8">
        <v>7.35</v>
      </c>
      <c r="L28" s="8">
        <v>7.32</v>
      </c>
    </row>
    <row r="29" ht="15.75" customHeight="1">
      <c r="A29" s="8">
        <v>4.17</v>
      </c>
      <c r="B29" s="8">
        <v>4.13</v>
      </c>
      <c r="C29" s="8">
        <v>5.5</v>
      </c>
      <c r="D29" s="8">
        <v>5.67</v>
      </c>
      <c r="E29" s="8">
        <v>5.62</v>
      </c>
      <c r="F29" s="8">
        <v>5.75</v>
      </c>
      <c r="G29" s="9"/>
      <c r="H29" s="8">
        <v>4.13</v>
      </c>
      <c r="I29" s="8">
        <v>7.45</v>
      </c>
      <c r="J29" s="8">
        <v>7.45</v>
      </c>
      <c r="K29" s="8">
        <v>7.43</v>
      </c>
      <c r="L29" s="8">
        <v>7.43</v>
      </c>
    </row>
    <row r="30" ht="15.75" customHeight="1">
      <c r="A30" s="8">
        <v>7.15</v>
      </c>
      <c r="B30" s="8">
        <v>7.22</v>
      </c>
      <c r="C30" s="8">
        <v>7.16</v>
      </c>
      <c r="D30" s="8">
        <v>7.13</v>
      </c>
      <c r="E30" s="8">
        <v>7.13</v>
      </c>
      <c r="F30" s="8">
        <v>7.15</v>
      </c>
      <c r="G30" s="9"/>
      <c r="H30" s="8">
        <v>7.22</v>
      </c>
      <c r="I30" s="8">
        <v>7.65</v>
      </c>
      <c r="J30" s="8">
        <v>7.66</v>
      </c>
      <c r="K30" s="8">
        <v>7.63</v>
      </c>
      <c r="L30" s="8">
        <v>7.63</v>
      </c>
    </row>
    <row r="31" ht="15.75" customHeight="1">
      <c r="A31" s="1"/>
    </row>
    <row r="32" ht="15.75" customHeight="1">
      <c r="A32" s="1"/>
    </row>
    <row r="33" ht="15.75" customHeight="1">
      <c r="A33" s="9"/>
      <c r="B33" s="9"/>
      <c r="C33" s="3" t="s">
        <v>0</v>
      </c>
      <c r="D33" s="4"/>
      <c r="E33" s="4"/>
      <c r="F33" s="5"/>
      <c r="G33" s="9"/>
      <c r="H33" s="9"/>
      <c r="I33" s="3" t="s">
        <v>1</v>
      </c>
      <c r="J33" s="4"/>
      <c r="K33" s="4"/>
      <c r="L33" s="5"/>
    </row>
    <row r="34" ht="15.75" customHeight="1">
      <c r="A34" s="6" t="s">
        <v>13</v>
      </c>
      <c r="B34" s="9"/>
      <c r="C34" s="3" t="s">
        <v>3</v>
      </c>
      <c r="D34" s="4"/>
      <c r="E34" s="4"/>
      <c r="F34" s="5"/>
      <c r="G34" s="9"/>
      <c r="H34" s="6" t="s">
        <v>13</v>
      </c>
      <c r="I34" s="3" t="s">
        <v>3</v>
      </c>
      <c r="J34" s="4"/>
      <c r="K34" s="4"/>
      <c r="L34" s="5"/>
    </row>
    <row r="35" ht="15.75" customHeight="1">
      <c r="A35" s="6" t="s">
        <v>4</v>
      </c>
      <c r="B35" s="6" t="s">
        <v>5</v>
      </c>
      <c r="C35" s="6" t="s">
        <v>6</v>
      </c>
      <c r="D35" s="7" t="s">
        <v>7</v>
      </c>
      <c r="E35" s="7" t="s">
        <v>8</v>
      </c>
      <c r="F35" s="7" t="s">
        <v>9</v>
      </c>
      <c r="G35" s="9"/>
      <c r="H35" s="6" t="s">
        <v>4</v>
      </c>
      <c r="I35" s="6" t="s">
        <v>6</v>
      </c>
      <c r="J35" s="7" t="s">
        <v>7</v>
      </c>
      <c r="K35" s="7" t="s">
        <v>8</v>
      </c>
      <c r="L35" s="7" t="s">
        <v>9</v>
      </c>
    </row>
    <row r="36" ht="15.75" customHeight="1">
      <c r="A36" s="8">
        <v>2.15</v>
      </c>
      <c r="B36" s="8">
        <v>1.92</v>
      </c>
      <c r="C36" s="8">
        <v>2.3</v>
      </c>
      <c r="D36" s="8">
        <v>2.23</v>
      </c>
      <c r="E36" s="8">
        <v>2.2</v>
      </c>
      <c r="F36" s="8">
        <v>2.25</v>
      </c>
      <c r="G36" s="9"/>
      <c r="H36" s="8">
        <v>2.1</v>
      </c>
      <c r="I36" s="8">
        <v>7.04</v>
      </c>
      <c r="J36" s="8">
        <v>7.04</v>
      </c>
      <c r="K36" s="8">
        <v>7.06</v>
      </c>
      <c r="L36" s="8">
        <v>7.16</v>
      </c>
    </row>
    <row r="37" ht="15.75" customHeight="1">
      <c r="A37" s="8">
        <v>4.17</v>
      </c>
      <c r="B37" s="8">
        <v>4.04</v>
      </c>
      <c r="C37" s="8">
        <v>5.41</v>
      </c>
      <c r="D37" s="8">
        <v>5.48</v>
      </c>
      <c r="E37" s="8">
        <v>5.48</v>
      </c>
      <c r="F37" s="8">
        <v>5.35</v>
      </c>
      <c r="G37" s="9"/>
      <c r="H37" s="8">
        <v>4.13</v>
      </c>
      <c r="I37" s="8">
        <v>7.17</v>
      </c>
      <c r="J37" s="8">
        <v>7.16</v>
      </c>
      <c r="K37" s="8">
        <v>7.23</v>
      </c>
      <c r="L37" s="8">
        <v>7.2</v>
      </c>
    </row>
    <row r="38" ht="15.75" customHeight="1">
      <c r="A38" s="8">
        <v>7.15</v>
      </c>
      <c r="B38" s="8">
        <v>7.02</v>
      </c>
      <c r="C38" s="8">
        <v>7.02</v>
      </c>
      <c r="D38" s="8">
        <v>7.01</v>
      </c>
      <c r="E38" s="8">
        <v>6.98</v>
      </c>
      <c r="F38" s="8">
        <v>6.96</v>
      </c>
      <c r="G38" s="9"/>
      <c r="H38" s="8">
        <v>7.22</v>
      </c>
      <c r="I38" s="8">
        <v>7.37</v>
      </c>
      <c r="J38" s="8">
        <v>7.33</v>
      </c>
      <c r="K38" s="8">
        <v>7.45</v>
      </c>
      <c r="L38" s="8">
        <v>7.43</v>
      </c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1:F1"/>
    <mergeCell ref="I1:L1"/>
    <mergeCell ref="C2:F2"/>
    <mergeCell ref="I2:L2"/>
    <mergeCell ref="C9:F9"/>
    <mergeCell ref="I9:L9"/>
    <mergeCell ref="I10:L10"/>
    <mergeCell ref="I25:L25"/>
    <mergeCell ref="I26:L26"/>
    <mergeCell ref="C33:F33"/>
    <mergeCell ref="I33:L33"/>
    <mergeCell ref="C34:F34"/>
    <mergeCell ref="I34:L34"/>
    <mergeCell ref="C10:F10"/>
    <mergeCell ref="C17:F17"/>
    <mergeCell ref="I17:L17"/>
    <mergeCell ref="C18:F18"/>
    <mergeCell ref="I18:L18"/>
    <mergeCell ref="C25:F25"/>
    <mergeCell ref="C26:F2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7.75"/>
    <col customWidth="1" min="7" max="7" width="17.75"/>
    <col customWidth="1" min="12" max="12" width="17.75"/>
    <col customWidth="1" min="17" max="17" width="17.75"/>
  </cols>
  <sheetData>
    <row r="1" ht="15.75" customHeight="1">
      <c r="A1" s="9"/>
      <c r="B1" s="10" t="s">
        <v>14</v>
      </c>
      <c r="C1" s="6" t="s">
        <v>15</v>
      </c>
      <c r="D1" s="6" t="s">
        <v>16</v>
      </c>
    </row>
    <row r="2" ht="15.75" customHeight="1">
      <c r="A2" s="9"/>
      <c r="B2" s="11">
        <v>0.04861111111111111</v>
      </c>
      <c r="C2" s="12" t="s">
        <v>17</v>
      </c>
      <c r="D2" s="12">
        <v>10.0</v>
      </c>
    </row>
    <row r="3" ht="15.75" customHeight="1">
      <c r="A3" s="9"/>
      <c r="B3" s="11">
        <v>0.04861111111111111</v>
      </c>
      <c r="C3" s="13" t="s">
        <v>18</v>
      </c>
      <c r="D3" s="12">
        <v>10.0</v>
      </c>
    </row>
    <row r="4" ht="15.75" customHeight="1">
      <c r="A4" s="9"/>
      <c r="B4" s="11">
        <v>0.04861111111111111</v>
      </c>
      <c r="C4" s="12" t="s">
        <v>19</v>
      </c>
      <c r="D4" s="12">
        <v>10.0</v>
      </c>
    </row>
    <row r="5" ht="15.75" customHeight="1">
      <c r="A5" s="9"/>
      <c r="B5" s="14" t="s">
        <v>20</v>
      </c>
      <c r="C5" s="5"/>
      <c r="D5" s="12">
        <f>D2*D3*D4</f>
        <v>1000</v>
      </c>
    </row>
    <row r="6" ht="15.75" customHeight="1">
      <c r="A6" s="9"/>
      <c r="C6" s="15" t="s">
        <v>21</v>
      </c>
      <c r="D6" s="12">
        <v>0.01</v>
      </c>
    </row>
    <row r="7" ht="15.75" customHeight="1">
      <c r="A7" s="9"/>
    </row>
    <row r="8" ht="15.75" customHeight="1">
      <c r="A8" s="9"/>
    </row>
    <row r="9" ht="15.75" customHeight="1">
      <c r="A9" s="9"/>
      <c r="C9" s="16">
        <v>2.0</v>
      </c>
      <c r="D9" s="4"/>
      <c r="E9" s="5"/>
      <c r="H9" s="16" t="s">
        <v>11</v>
      </c>
      <c r="I9" s="4"/>
      <c r="J9" s="5"/>
      <c r="M9" s="16" t="s">
        <v>12</v>
      </c>
      <c r="N9" s="4"/>
      <c r="O9" s="5"/>
      <c r="R9" s="16" t="s">
        <v>13</v>
      </c>
      <c r="S9" s="4"/>
      <c r="T9" s="5"/>
    </row>
    <row r="10" ht="15.75" customHeight="1">
      <c r="A10" s="9"/>
      <c r="B10" s="17" t="s">
        <v>22</v>
      </c>
      <c r="C10" s="18">
        <v>2.0</v>
      </c>
      <c r="D10" s="18">
        <v>4.0</v>
      </c>
      <c r="E10" s="19">
        <v>7.0</v>
      </c>
      <c r="G10" s="20" t="s">
        <v>22</v>
      </c>
      <c r="H10" s="18">
        <v>2.0</v>
      </c>
      <c r="I10" s="18">
        <v>4.0</v>
      </c>
      <c r="J10" s="19">
        <v>7.0</v>
      </c>
      <c r="L10" s="20" t="s">
        <v>22</v>
      </c>
      <c r="M10" s="18">
        <v>2.0</v>
      </c>
      <c r="N10" s="18">
        <v>4.0</v>
      </c>
      <c r="O10" s="19">
        <v>7.0</v>
      </c>
      <c r="Q10" s="20" t="s">
        <v>22</v>
      </c>
      <c r="R10" s="18">
        <v>2.0</v>
      </c>
      <c r="S10" s="18">
        <v>4.0</v>
      </c>
      <c r="T10" s="19">
        <v>7.0</v>
      </c>
    </row>
    <row r="11" ht="15.75" customHeight="1">
      <c r="A11" s="9"/>
      <c r="B11" s="21" t="s">
        <v>23</v>
      </c>
      <c r="C11" s="22">
        <f>(2*10^3*$D$5)/$D$6</f>
        <v>200000000</v>
      </c>
      <c r="D11" s="22">
        <f>(1*10^3*$D$5)/$D$6</f>
        <v>100000000</v>
      </c>
      <c r="E11" s="22">
        <f>(16*10^2*$D$5)/$D$6</f>
        <v>160000000</v>
      </c>
      <c r="G11" s="23" t="s">
        <v>23</v>
      </c>
      <c r="H11" s="22">
        <f t="shared" ref="H11:H13" si="4">(2*10^3*$D$5)/$D$6</f>
        <v>200000000</v>
      </c>
      <c r="I11" s="22">
        <f>(7*10^2*$D$5)/$D$6</f>
        <v>70000000</v>
      </c>
      <c r="J11" s="22">
        <f>(8*10^2*$D$5)/$D$6</f>
        <v>80000000</v>
      </c>
      <c r="L11" s="23" t="s">
        <v>23</v>
      </c>
      <c r="M11" s="22">
        <f t="shared" ref="M11:N11" si="1">(1*10^3*$D$5)/$D$6</f>
        <v>100000000</v>
      </c>
      <c r="N11" s="22">
        <f t="shared" si="1"/>
        <v>100000000</v>
      </c>
      <c r="O11" s="22">
        <f t="shared" ref="O11:O12" si="6">(13*10^2*$D$5)/$D$6</f>
        <v>130000000</v>
      </c>
      <c r="Q11" s="23" t="s">
        <v>23</v>
      </c>
      <c r="R11" s="22">
        <f>(3*10^3*$D$5)/$D$6</f>
        <v>300000000</v>
      </c>
      <c r="S11" s="22">
        <f t="shared" ref="S11:T11" si="2">(2*10^3*$D$5)/$D$6</f>
        <v>200000000</v>
      </c>
      <c r="T11" s="22">
        <f t="shared" si="2"/>
        <v>200000000</v>
      </c>
    </row>
    <row r="12" ht="15.75" customHeight="1">
      <c r="A12" s="9"/>
      <c r="B12" s="21" t="s">
        <v>24</v>
      </c>
      <c r="C12" s="22">
        <f t="shared" ref="C12:D12" si="3">(1*10^3*$D$5)/$D$6</f>
        <v>100000000</v>
      </c>
      <c r="D12" s="22">
        <f t="shared" si="3"/>
        <v>100000000</v>
      </c>
      <c r="E12" s="22">
        <f>(4*10^3*$D$5)/$D$6</f>
        <v>400000000</v>
      </c>
      <c r="G12" s="23" t="s">
        <v>24</v>
      </c>
      <c r="H12" s="22">
        <f t="shared" si="4"/>
        <v>200000000</v>
      </c>
      <c r="I12" s="22">
        <f t="shared" ref="I12:J12" si="5">(6*10^2*$D$5)/$D$6</f>
        <v>60000000</v>
      </c>
      <c r="J12" s="22">
        <f t="shared" si="5"/>
        <v>60000000</v>
      </c>
      <c r="L12" s="23" t="s">
        <v>24</v>
      </c>
      <c r="M12" s="22">
        <f>(4*10^3*$D$5)/$D$6</f>
        <v>400000000</v>
      </c>
      <c r="N12" s="22">
        <f>(5*10^3*$D$5)/$D$6</f>
        <v>500000000</v>
      </c>
      <c r="O12" s="22">
        <f t="shared" si="6"/>
        <v>130000000</v>
      </c>
      <c r="Q12" s="23" t="s">
        <v>24</v>
      </c>
      <c r="R12" s="22">
        <f t="shared" ref="R12:S12" si="7">(1*10^3*$D$5)/$D$6</f>
        <v>100000000</v>
      </c>
      <c r="S12" s="22">
        <f t="shared" si="7"/>
        <v>100000000</v>
      </c>
      <c r="T12" s="22">
        <f>(2*10^3*$D$5)/$D$6</f>
        <v>200000000</v>
      </c>
    </row>
    <row r="13" ht="15.75" customHeight="1">
      <c r="A13" s="9"/>
      <c r="B13" s="21" t="s">
        <v>25</v>
      </c>
      <c r="C13" s="22">
        <f>(11*10^2*$D$5)/$D$6</f>
        <v>110000000</v>
      </c>
      <c r="D13" s="22">
        <f>(4*10^3*$D$5)/$D$6</f>
        <v>400000000</v>
      </c>
      <c r="E13" s="22">
        <f>(1*10^3*$D$5)/$D$6</f>
        <v>100000000</v>
      </c>
      <c r="G13" s="23" t="s">
        <v>25</v>
      </c>
      <c r="H13" s="22">
        <f t="shared" si="4"/>
        <v>200000000</v>
      </c>
      <c r="I13" s="22">
        <f>(8*10^2*$D$5)/$D$6</f>
        <v>80000000</v>
      </c>
      <c r="J13" s="22">
        <f>(11*10^2*$D$5)/$D$6</f>
        <v>110000000</v>
      </c>
      <c r="L13" s="23" t="s">
        <v>25</v>
      </c>
      <c r="M13" s="22">
        <f t="shared" ref="M13:N13" si="8">(1.2*10^3*$D$5)/$D$6</f>
        <v>120000000</v>
      </c>
      <c r="N13" s="22">
        <f t="shared" si="8"/>
        <v>120000000</v>
      </c>
      <c r="O13" s="22">
        <f>(12*10^2*$D$5)/$D$6</f>
        <v>120000000</v>
      </c>
      <c r="Q13" s="23" t="s">
        <v>25</v>
      </c>
      <c r="R13" s="22">
        <f t="shared" ref="R13:T13" si="9">(1*10^3*$D$5)/$D$6</f>
        <v>100000000</v>
      </c>
      <c r="S13" s="22">
        <f t="shared" si="9"/>
        <v>100000000</v>
      </c>
      <c r="T13" s="22">
        <f t="shared" si="9"/>
        <v>100000000</v>
      </c>
    </row>
    <row r="14" ht="15.75" customHeight="1">
      <c r="A14" s="9"/>
      <c r="B14" s="24" t="s">
        <v>26</v>
      </c>
      <c r="C14" s="25">
        <f t="shared" ref="C14:E14" si="10">AVERAGE(C11:C13)</f>
        <v>136666666.7</v>
      </c>
      <c r="D14" s="25">
        <f t="shared" si="10"/>
        <v>200000000</v>
      </c>
      <c r="E14" s="25">
        <f t="shared" si="10"/>
        <v>220000000</v>
      </c>
      <c r="G14" s="26" t="s">
        <v>26</v>
      </c>
      <c r="H14" s="25">
        <f t="shared" ref="H14:J14" si="11">AVERAGE(H11:H13)</f>
        <v>200000000</v>
      </c>
      <c r="I14" s="25">
        <f t="shared" si="11"/>
        <v>70000000</v>
      </c>
      <c r="J14" s="25">
        <f t="shared" si="11"/>
        <v>83333333.33</v>
      </c>
      <c r="L14" s="26" t="s">
        <v>26</v>
      </c>
      <c r="M14" s="25">
        <f t="shared" ref="M14:O14" si="12">AVERAGE(M11:M13)</f>
        <v>206666666.7</v>
      </c>
      <c r="N14" s="25">
        <f t="shared" si="12"/>
        <v>240000000</v>
      </c>
      <c r="O14" s="25">
        <f t="shared" si="12"/>
        <v>126666666.7</v>
      </c>
      <c r="Q14" s="26" t="s">
        <v>26</v>
      </c>
      <c r="R14" s="25">
        <f t="shared" ref="R14:T14" si="13">AVERAGE(R11:R13)</f>
        <v>166666666.7</v>
      </c>
      <c r="S14" s="25">
        <f t="shared" si="13"/>
        <v>133333333.3</v>
      </c>
      <c r="T14" s="25">
        <f t="shared" si="13"/>
        <v>166666666.7</v>
      </c>
    </row>
    <row r="15" ht="15.75" customHeight="1">
      <c r="A15" s="9"/>
      <c r="B15" s="27" t="s">
        <v>27</v>
      </c>
      <c r="C15" s="25">
        <f t="shared" ref="C15:E15" si="14">STDEV(C11:C13)</f>
        <v>55075705.47</v>
      </c>
      <c r="D15" s="25">
        <f t="shared" si="14"/>
        <v>173205080.8</v>
      </c>
      <c r="E15" s="25">
        <f t="shared" si="14"/>
        <v>158745078.7</v>
      </c>
      <c r="G15" s="28" t="s">
        <v>27</v>
      </c>
      <c r="H15" s="25">
        <f t="shared" ref="H15:J15" si="15">STDEV(H11:H13)</f>
        <v>0</v>
      </c>
      <c r="I15" s="25">
        <f t="shared" si="15"/>
        <v>10000000</v>
      </c>
      <c r="J15" s="25">
        <f t="shared" si="15"/>
        <v>25166114.78</v>
      </c>
      <c r="L15" s="28" t="s">
        <v>27</v>
      </c>
      <c r="M15" s="25">
        <f t="shared" ref="M15:O15" si="16">STDEV(M11:M13)</f>
        <v>167729941.7</v>
      </c>
      <c r="N15" s="25">
        <f t="shared" si="16"/>
        <v>225388553.4</v>
      </c>
      <c r="O15" s="25">
        <f t="shared" si="16"/>
        <v>5773502.692</v>
      </c>
      <c r="Q15" s="28" t="s">
        <v>27</v>
      </c>
      <c r="R15" s="25">
        <f t="shared" ref="R15:T15" si="17">STDEV(R11:R13)</f>
        <v>115470053.8</v>
      </c>
      <c r="S15" s="25">
        <f t="shared" si="17"/>
        <v>57735026.92</v>
      </c>
      <c r="T15" s="25">
        <f t="shared" si="17"/>
        <v>57735026.92</v>
      </c>
    </row>
    <row r="16" ht="15.75" customHeight="1">
      <c r="A16" s="9"/>
    </row>
    <row r="17" ht="15.75" customHeight="1">
      <c r="A17" s="9"/>
      <c r="C17" s="16" t="s">
        <v>28</v>
      </c>
      <c r="D17" s="4"/>
      <c r="E17" s="5"/>
      <c r="H17" s="16" t="s">
        <v>28</v>
      </c>
      <c r="I17" s="4"/>
      <c r="J17" s="5"/>
      <c r="M17" s="16" t="s">
        <v>28</v>
      </c>
      <c r="N17" s="4"/>
      <c r="O17" s="5"/>
      <c r="R17" s="16" t="s">
        <v>28</v>
      </c>
      <c r="S17" s="4"/>
      <c r="T17" s="5"/>
    </row>
    <row r="18" ht="15.75" customHeight="1">
      <c r="A18" s="9"/>
      <c r="B18" s="17" t="s">
        <v>22</v>
      </c>
      <c r="C18" s="18">
        <v>2.0</v>
      </c>
      <c r="D18" s="18">
        <v>4.0</v>
      </c>
      <c r="E18" s="19">
        <v>7.0</v>
      </c>
      <c r="G18" s="20" t="s">
        <v>22</v>
      </c>
      <c r="H18" s="18">
        <v>2.0</v>
      </c>
      <c r="I18" s="18">
        <v>4.0</v>
      </c>
      <c r="J18" s="19">
        <v>7.0</v>
      </c>
      <c r="L18" s="20" t="s">
        <v>22</v>
      </c>
      <c r="M18" s="18">
        <v>2.0</v>
      </c>
      <c r="N18" s="18">
        <v>4.0</v>
      </c>
      <c r="O18" s="19">
        <v>7.0</v>
      </c>
      <c r="Q18" s="20" t="s">
        <v>22</v>
      </c>
      <c r="R18" s="18">
        <v>2.0</v>
      </c>
      <c r="S18" s="18">
        <v>4.0</v>
      </c>
      <c r="T18" s="19">
        <v>7.0</v>
      </c>
    </row>
    <row r="19" ht="15.75" customHeight="1">
      <c r="A19" s="9"/>
      <c r="B19" s="24" t="s">
        <v>26</v>
      </c>
      <c r="C19" s="25">
        <f t="shared" ref="C19:E19" si="18">LOG(C14)</f>
        <v>8.135662602</v>
      </c>
      <c r="D19" s="25">
        <f t="shared" si="18"/>
        <v>8.301029996</v>
      </c>
      <c r="E19" s="25">
        <f t="shared" si="18"/>
        <v>8.342422681</v>
      </c>
      <c r="G19" s="26" t="s">
        <v>26</v>
      </c>
      <c r="H19" s="25">
        <f t="shared" ref="H19:J19" si="19">LOG(H14)</f>
        <v>8.301029996</v>
      </c>
      <c r="I19" s="25">
        <f t="shared" si="19"/>
        <v>7.84509804</v>
      </c>
      <c r="J19" s="25">
        <f t="shared" si="19"/>
        <v>7.920818754</v>
      </c>
      <c r="L19" s="26" t="s">
        <v>26</v>
      </c>
      <c r="M19" s="25">
        <f t="shared" ref="M19:O19" si="20">LOG(M14)</f>
        <v>8.315270435</v>
      </c>
      <c r="N19" s="25">
        <f t="shared" si="20"/>
        <v>8.380211242</v>
      </c>
      <c r="O19" s="25">
        <f t="shared" si="20"/>
        <v>8.102662342</v>
      </c>
      <c r="Q19" s="26" t="s">
        <v>26</v>
      </c>
      <c r="R19" s="25">
        <f t="shared" ref="R19:T19" si="21">LOG(R14)</f>
        <v>8.22184875</v>
      </c>
      <c r="S19" s="25">
        <f t="shared" si="21"/>
        <v>8.124938737</v>
      </c>
      <c r="T19" s="25">
        <f t="shared" si="21"/>
        <v>8.22184875</v>
      </c>
    </row>
    <row r="20" ht="15.75" customHeight="1">
      <c r="A20" s="9"/>
    </row>
    <row r="21" ht="15.75" customHeight="1">
      <c r="A21" s="9"/>
    </row>
    <row r="22" ht="15.75" customHeight="1">
      <c r="A22" s="9"/>
      <c r="C22" s="16" t="s">
        <v>29</v>
      </c>
      <c r="D22" s="4"/>
      <c r="E22" s="4"/>
      <c r="F22" s="4"/>
      <c r="G22" s="5"/>
    </row>
    <row r="23" ht="15.75" customHeight="1">
      <c r="A23" s="9"/>
      <c r="B23" s="17" t="s">
        <v>22</v>
      </c>
      <c r="C23" s="18" t="s">
        <v>10</v>
      </c>
      <c r="D23" s="18" t="s">
        <v>11</v>
      </c>
      <c r="E23" s="19" t="s">
        <v>12</v>
      </c>
      <c r="F23" s="18" t="s">
        <v>13</v>
      </c>
      <c r="G23" s="29" t="s">
        <v>30</v>
      </c>
    </row>
    <row r="24" ht="15.75" customHeight="1">
      <c r="A24" s="9"/>
      <c r="B24" s="21">
        <v>2.0</v>
      </c>
      <c r="C24" s="22">
        <f>C19</f>
        <v>8.135662602</v>
      </c>
      <c r="D24" s="22">
        <f>H19</f>
        <v>8.301029996</v>
      </c>
      <c r="E24" s="22">
        <f>M19</f>
        <v>8.315270435</v>
      </c>
      <c r="F24" s="30">
        <f>R19</f>
        <v>8.22184875</v>
      </c>
      <c r="G24" s="31">
        <f t="shared" ref="G24:G26" si="22">AVERAGE(C24:F24)</f>
        <v>8.243452946</v>
      </c>
    </row>
    <row r="25" ht="15.75" customHeight="1">
      <c r="A25" s="9"/>
      <c r="B25" s="21">
        <v>4.0</v>
      </c>
      <c r="C25" s="22">
        <f>D19</f>
        <v>8.301029996</v>
      </c>
      <c r="D25" s="22">
        <f>I19</f>
        <v>7.84509804</v>
      </c>
      <c r="E25" s="22">
        <f>N19</f>
        <v>8.380211242</v>
      </c>
      <c r="F25" s="30">
        <f>S19</f>
        <v>8.124938737</v>
      </c>
      <c r="G25" s="31">
        <f t="shared" si="22"/>
        <v>8.162819503</v>
      </c>
    </row>
    <row r="26" ht="15.75" customHeight="1">
      <c r="A26" s="9"/>
      <c r="B26" s="21">
        <v>7.0</v>
      </c>
      <c r="C26" s="22">
        <f>E19</f>
        <v>8.342422681</v>
      </c>
      <c r="D26" s="22">
        <f>J19</f>
        <v>7.920818754</v>
      </c>
      <c r="E26" s="22">
        <f>O19</f>
        <v>8.102662342</v>
      </c>
      <c r="F26" s="30">
        <f>T19</f>
        <v>8.22184875</v>
      </c>
      <c r="G26" s="31">
        <f t="shared" si="22"/>
        <v>8.146938132</v>
      </c>
    </row>
    <row r="27" ht="15.75" customHeight="1">
      <c r="A27" s="9"/>
      <c r="B27" s="24" t="s">
        <v>26</v>
      </c>
      <c r="C27" s="25">
        <f t="shared" ref="C27:F27" si="23">AVERAGE(C24:C26)</f>
        <v>8.259705093</v>
      </c>
      <c r="D27" s="25">
        <f t="shared" si="23"/>
        <v>8.022315597</v>
      </c>
      <c r="E27" s="25">
        <f t="shared" si="23"/>
        <v>8.266048006</v>
      </c>
      <c r="F27" s="32">
        <f t="shared" si="23"/>
        <v>8.189545412</v>
      </c>
      <c r="G27" s="33"/>
    </row>
    <row r="28" ht="15.75" customHeight="1">
      <c r="A28" s="9"/>
    </row>
    <row r="29" ht="15.75" customHeight="1">
      <c r="A29" s="9"/>
      <c r="C29" s="16" t="s">
        <v>28</v>
      </c>
      <c r="D29" s="4"/>
      <c r="E29" s="5"/>
    </row>
    <row r="30" ht="15.75" customHeight="1">
      <c r="A30" s="9"/>
      <c r="B30" s="17" t="s">
        <v>22</v>
      </c>
      <c r="C30" s="18">
        <v>2.0</v>
      </c>
      <c r="D30" s="18">
        <v>4.0</v>
      </c>
      <c r="E30" s="19">
        <v>7.0</v>
      </c>
    </row>
    <row r="31" ht="15.75" customHeight="1">
      <c r="A31" s="9"/>
      <c r="B31" s="24" t="s">
        <v>26</v>
      </c>
      <c r="C31" s="34">
        <f>G24</f>
        <v>8.243452946</v>
      </c>
      <c r="D31" s="34">
        <f>G25</f>
        <v>8.162819503</v>
      </c>
      <c r="E31" s="34">
        <f>G26</f>
        <v>8.146938132</v>
      </c>
    </row>
    <row r="32" ht="15.75" customHeight="1">
      <c r="A32" s="9"/>
      <c r="B32" s="27" t="s">
        <v>27</v>
      </c>
      <c r="C32" s="34">
        <f>_xlfn.STDEV.P(C24:F24)</f>
        <v>0.07169094766</v>
      </c>
      <c r="D32" s="34">
        <f>_xlfn.STDEV.P(C25:F25)</f>
        <v>0.2053918139</v>
      </c>
      <c r="E32" s="34">
        <f>_xlfn.STDEV.P(C26:F26)</f>
        <v>0.1556567764</v>
      </c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M17:O17"/>
    <mergeCell ref="R17:T17"/>
    <mergeCell ref="C22:G22"/>
    <mergeCell ref="C29:E29"/>
    <mergeCell ref="B5:C5"/>
    <mergeCell ref="C9:E9"/>
    <mergeCell ref="H9:J9"/>
    <mergeCell ref="M9:O9"/>
    <mergeCell ref="R9:T9"/>
    <mergeCell ref="C17:E17"/>
    <mergeCell ref="H17:J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7" max="7" width="17.75"/>
    <col customWidth="1" min="12" max="12" width="17.75"/>
    <col customWidth="1" min="17" max="17" width="17.75"/>
  </cols>
  <sheetData>
    <row r="1" ht="15.75" customHeight="1">
      <c r="A1" s="9"/>
      <c r="B1" s="10" t="s">
        <v>14</v>
      </c>
      <c r="C1" s="6" t="s">
        <v>15</v>
      </c>
      <c r="D1" s="6" t="s">
        <v>16</v>
      </c>
    </row>
    <row r="2" ht="15.75" customHeight="1">
      <c r="A2" s="9"/>
      <c r="B2" s="11">
        <v>0.04861111111111111</v>
      </c>
      <c r="C2" s="13" t="s">
        <v>17</v>
      </c>
      <c r="D2" s="12">
        <v>10.0</v>
      </c>
    </row>
    <row r="3" ht="15.75" customHeight="1">
      <c r="A3" s="9"/>
      <c r="B3" s="11">
        <v>0.04861111111111111</v>
      </c>
      <c r="C3" s="13" t="s">
        <v>18</v>
      </c>
      <c r="D3" s="12">
        <v>10.0</v>
      </c>
    </row>
    <row r="4" ht="15.75" customHeight="1">
      <c r="A4" s="9"/>
      <c r="B4" s="11">
        <v>0.04861111111111111</v>
      </c>
      <c r="C4" s="12" t="s">
        <v>19</v>
      </c>
      <c r="D4" s="12">
        <v>10.0</v>
      </c>
    </row>
    <row r="5" ht="15.75" customHeight="1">
      <c r="A5" s="9"/>
      <c r="B5" s="14" t="s">
        <v>20</v>
      </c>
      <c r="C5" s="5"/>
      <c r="D5" s="12">
        <f>D2*D3*D4</f>
        <v>1000</v>
      </c>
    </row>
    <row r="6" ht="15.75" customHeight="1">
      <c r="A6" s="9"/>
      <c r="C6" s="15" t="s">
        <v>21</v>
      </c>
      <c r="D6" s="12">
        <v>0.01</v>
      </c>
    </row>
    <row r="7" ht="15.75" customHeight="1">
      <c r="A7" s="9"/>
    </row>
    <row r="8" ht="15.75" customHeight="1">
      <c r="A8" s="9"/>
    </row>
    <row r="9" ht="15.75" customHeight="1">
      <c r="A9" s="9"/>
      <c r="C9" s="16">
        <v>2.0</v>
      </c>
      <c r="D9" s="4"/>
      <c r="E9" s="5"/>
      <c r="H9" s="16" t="s">
        <v>11</v>
      </c>
      <c r="I9" s="4"/>
      <c r="J9" s="5"/>
      <c r="M9" s="16" t="s">
        <v>12</v>
      </c>
      <c r="N9" s="4"/>
      <c r="O9" s="5"/>
      <c r="R9" s="16" t="s">
        <v>13</v>
      </c>
      <c r="S9" s="4"/>
      <c r="T9" s="5"/>
    </row>
    <row r="10" ht="15.75" customHeight="1">
      <c r="A10" s="9"/>
      <c r="B10" s="17" t="s">
        <v>22</v>
      </c>
      <c r="C10" s="18">
        <v>2.0</v>
      </c>
      <c r="D10" s="18">
        <v>4.0</v>
      </c>
      <c r="E10" s="19">
        <v>7.0</v>
      </c>
      <c r="G10" s="20" t="s">
        <v>22</v>
      </c>
      <c r="H10" s="18">
        <v>2.0</v>
      </c>
      <c r="I10" s="18">
        <v>4.0</v>
      </c>
      <c r="J10" s="19">
        <v>7.0</v>
      </c>
      <c r="L10" s="20" t="s">
        <v>22</v>
      </c>
      <c r="M10" s="18">
        <v>2.0</v>
      </c>
      <c r="N10" s="18">
        <v>4.0</v>
      </c>
      <c r="O10" s="19">
        <v>7.0</v>
      </c>
      <c r="Q10" s="20" t="s">
        <v>22</v>
      </c>
      <c r="R10" s="18">
        <v>2.0</v>
      </c>
      <c r="S10" s="18">
        <v>4.0</v>
      </c>
      <c r="T10" s="19">
        <v>7.0</v>
      </c>
    </row>
    <row r="11" ht="15.75" customHeight="1">
      <c r="A11" s="9"/>
      <c r="B11" s="21" t="s">
        <v>23</v>
      </c>
      <c r="C11" s="22">
        <f>(1*10^3*$D$5)/$D$6</f>
        <v>100000000</v>
      </c>
      <c r="D11" s="22">
        <f t="shared" ref="D11:D13" si="1">(2*10^4*$D$5)/$D$6</f>
        <v>2000000000</v>
      </c>
      <c r="E11" s="22">
        <f>(16*10^2*$D$5)/$D$6</f>
        <v>160000000</v>
      </c>
      <c r="G11" s="23" t="s">
        <v>23</v>
      </c>
      <c r="H11" s="22">
        <f>(9*10^2*$D$5)/$D$6</f>
        <v>90000000</v>
      </c>
      <c r="I11" s="22">
        <f>(8*10^2*$D$5)/$D$6</f>
        <v>80000000</v>
      </c>
      <c r="J11" s="22">
        <f>(3*10^3*$D$5)/$D$6</f>
        <v>300000000</v>
      </c>
      <c r="L11" s="23" t="s">
        <v>23</v>
      </c>
      <c r="M11" s="22">
        <f>(2*10^3*$D$5)/$D$6</f>
        <v>200000000</v>
      </c>
      <c r="N11" s="22">
        <f>(1*10^3*$D$5)/$D$6</f>
        <v>100000000</v>
      </c>
      <c r="O11" s="22">
        <f>(7*10^3*$D$5)/$D$6</f>
        <v>700000000</v>
      </c>
      <c r="Q11" s="23" t="s">
        <v>23</v>
      </c>
      <c r="R11" s="22">
        <f>(2*10^3*$D$5)/$D$6</f>
        <v>200000000</v>
      </c>
      <c r="S11" s="22">
        <f>(12*10^2*$D$5)/$D$6</f>
        <v>120000000</v>
      </c>
      <c r="T11" s="22">
        <f>(20*10^2*$D$5)/$D$6</f>
        <v>200000000</v>
      </c>
    </row>
    <row r="12" ht="15.75" customHeight="1">
      <c r="A12" s="9"/>
      <c r="B12" s="21" t="s">
        <v>24</v>
      </c>
      <c r="C12" s="22">
        <f>(2*10^3*$D$5)/$D$6</f>
        <v>200000000</v>
      </c>
      <c r="D12" s="22">
        <f t="shared" si="1"/>
        <v>2000000000</v>
      </c>
      <c r="E12" s="22">
        <f>(4*10^3*$D$5)/$D$6</f>
        <v>400000000</v>
      </c>
      <c r="G12" s="23" t="s">
        <v>24</v>
      </c>
      <c r="H12" s="22">
        <f>(6*10^2*$D$5)/$D$6</f>
        <v>60000000</v>
      </c>
      <c r="I12" s="22">
        <f>(9*10^2*$D$5)/$D$6</f>
        <v>90000000</v>
      </c>
      <c r="J12" s="22">
        <f>(1*10^3*$D$5)/$D$6</f>
        <v>100000000</v>
      </c>
      <c r="L12" s="23" t="s">
        <v>24</v>
      </c>
      <c r="M12" s="22">
        <f>(3*10^3*$D$5)/$D$6</f>
        <v>300000000</v>
      </c>
      <c r="N12" s="22">
        <f t="shared" ref="N12:O12" si="2">(5*10^3*$D$5)/$D$6</f>
        <v>500000000</v>
      </c>
      <c r="O12" s="22">
        <f t="shared" si="2"/>
        <v>500000000</v>
      </c>
      <c r="Q12" s="23" t="s">
        <v>24</v>
      </c>
      <c r="R12" s="22">
        <f>(3*10^3*$D$5)/$D$6</f>
        <v>300000000</v>
      </c>
      <c r="S12" s="22">
        <f>(8*10^2*$D$5)/$D$6</f>
        <v>80000000</v>
      </c>
      <c r="T12" s="22">
        <f t="shared" ref="T12:T13" si="4">(2*10^3*$D$5)/$D$6</f>
        <v>200000000</v>
      </c>
    </row>
    <row r="13" ht="15.75" customHeight="1">
      <c r="A13" s="9"/>
      <c r="B13" s="21" t="s">
        <v>25</v>
      </c>
      <c r="C13" s="22">
        <f>(12*10^2*$D$5)/$D$6</f>
        <v>120000000</v>
      </c>
      <c r="D13" s="22">
        <f t="shared" si="1"/>
        <v>2000000000</v>
      </c>
      <c r="E13" s="22">
        <f>(3*10^3*$D$5)/$D$6</f>
        <v>300000000</v>
      </c>
      <c r="G13" s="23" t="s">
        <v>25</v>
      </c>
      <c r="H13" s="22">
        <f>(10*10^2*$D$5)/$D$6</f>
        <v>100000000</v>
      </c>
      <c r="I13" s="22">
        <f>(7*10^2*$D$5)/$D$6</f>
        <v>70000000</v>
      </c>
      <c r="J13" s="22">
        <f>(5*10^3*$D$5)/$D$6</f>
        <v>500000000</v>
      </c>
      <c r="L13" s="23" t="s">
        <v>25</v>
      </c>
      <c r="M13" s="22">
        <f t="shared" ref="M13:N13" si="3">(1*10^3*$D$5)/$D$6</f>
        <v>100000000</v>
      </c>
      <c r="N13" s="22">
        <f t="shared" si="3"/>
        <v>100000000</v>
      </c>
      <c r="O13" s="22">
        <f>(8*10^3*$D$5)/$D$6</f>
        <v>800000000</v>
      </c>
      <c r="Q13" s="23" t="s">
        <v>25</v>
      </c>
      <c r="R13" s="22">
        <f>(2*10^3*$D$5)/$D$6</f>
        <v>200000000</v>
      </c>
      <c r="S13" s="22">
        <f>(7*10^2*$D$5)/$D$6</f>
        <v>70000000</v>
      </c>
      <c r="T13" s="22">
        <f t="shared" si="4"/>
        <v>200000000</v>
      </c>
    </row>
    <row r="14" ht="15.75" customHeight="1">
      <c r="A14" s="9"/>
      <c r="B14" s="24" t="s">
        <v>26</v>
      </c>
      <c r="C14" s="25">
        <f t="shared" ref="C14:E14" si="5">AVERAGE(C11:C13)</f>
        <v>140000000</v>
      </c>
      <c r="D14" s="25">
        <f t="shared" si="5"/>
        <v>2000000000</v>
      </c>
      <c r="E14" s="25">
        <f t="shared" si="5"/>
        <v>286666666.7</v>
      </c>
      <c r="G14" s="26" t="s">
        <v>26</v>
      </c>
      <c r="H14" s="25">
        <f t="shared" ref="H14:J14" si="6">AVERAGE(H11:H13)</f>
        <v>83333333.33</v>
      </c>
      <c r="I14" s="25">
        <f t="shared" si="6"/>
        <v>80000000</v>
      </c>
      <c r="J14" s="25">
        <f t="shared" si="6"/>
        <v>300000000</v>
      </c>
      <c r="L14" s="26" t="s">
        <v>26</v>
      </c>
      <c r="M14" s="25">
        <f t="shared" ref="M14:O14" si="7">AVERAGE(M11:M13)</f>
        <v>200000000</v>
      </c>
      <c r="N14" s="25">
        <f t="shared" si="7"/>
        <v>233333333.3</v>
      </c>
      <c r="O14" s="25">
        <f t="shared" si="7"/>
        <v>666666666.7</v>
      </c>
      <c r="Q14" s="26" t="s">
        <v>26</v>
      </c>
      <c r="R14" s="25">
        <f t="shared" ref="R14:T14" si="8">AVERAGE(R11:R13)</f>
        <v>233333333.3</v>
      </c>
      <c r="S14" s="25">
        <f t="shared" si="8"/>
        <v>90000000</v>
      </c>
      <c r="T14" s="25">
        <f t="shared" si="8"/>
        <v>200000000</v>
      </c>
    </row>
    <row r="15" ht="15.75" customHeight="1">
      <c r="A15" s="9"/>
      <c r="B15" s="27" t="s">
        <v>27</v>
      </c>
      <c r="C15" s="25">
        <f t="shared" ref="C15:E15" si="9">STDEV(C11:C13)</f>
        <v>52915026.22</v>
      </c>
      <c r="D15" s="25">
        <f t="shared" si="9"/>
        <v>0</v>
      </c>
      <c r="E15" s="25">
        <f t="shared" si="9"/>
        <v>120554275.5</v>
      </c>
      <c r="G15" s="28" t="s">
        <v>27</v>
      </c>
      <c r="H15" s="25">
        <f t="shared" ref="H15:J15" si="10">STDEV(H11:H13)</f>
        <v>20816659.99</v>
      </c>
      <c r="I15" s="25">
        <f t="shared" si="10"/>
        <v>10000000</v>
      </c>
      <c r="J15" s="25">
        <f t="shared" si="10"/>
        <v>200000000</v>
      </c>
      <c r="L15" s="28" t="s">
        <v>27</v>
      </c>
      <c r="M15" s="25">
        <f t="shared" ref="M15:O15" si="11">STDEV(M11:M13)</f>
        <v>100000000</v>
      </c>
      <c r="N15" s="25">
        <f t="shared" si="11"/>
        <v>230940107.7</v>
      </c>
      <c r="O15" s="25">
        <f t="shared" si="11"/>
        <v>152752523.2</v>
      </c>
      <c r="Q15" s="28" t="s">
        <v>27</v>
      </c>
      <c r="R15" s="25">
        <f t="shared" ref="R15:T15" si="12">STDEV(R11:R13)</f>
        <v>57735026.92</v>
      </c>
      <c r="S15" s="25">
        <f t="shared" si="12"/>
        <v>26457513.11</v>
      </c>
      <c r="T15" s="25">
        <f t="shared" si="12"/>
        <v>0</v>
      </c>
    </row>
    <row r="16" ht="15.75" customHeight="1">
      <c r="A16" s="9"/>
    </row>
    <row r="17" ht="15.75" customHeight="1">
      <c r="A17" s="9"/>
      <c r="C17" s="16" t="s">
        <v>28</v>
      </c>
      <c r="D17" s="4"/>
      <c r="E17" s="5"/>
      <c r="H17" s="16" t="s">
        <v>28</v>
      </c>
      <c r="I17" s="4"/>
      <c r="J17" s="5"/>
      <c r="M17" s="16" t="s">
        <v>28</v>
      </c>
      <c r="N17" s="4"/>
      <c r="O17" s="5"/>
      <c r="R17" s="16" t="s">
        <v>28</v>
      </c>
      <c r="S17" s="4"/>
      <c r="T17" s="5"/>
    </row>
    <row r="18" ht="15.75" customHeight="1">
      <c r="A18" s="9"/>
      <c r="B18" s="17" t="s">
        <v>22</v>
      </c>
      <c r="C18" s="18">
        <v>2.0</v>
      </c>
      <c r="D18" s="18">
        <v>4.0</v>
      </c>
      <c r="E18" s="19">
        <v>7.0</v>
      </c>
      <c r="G18" s="20" t="s">
        <v>22</v>
      </c>
      <c r="H18" s="18">
        <v>2.0</v>
      </c>
      <c r="I18" s="18">
        <v>4.0</v>
      </c>
      <c r="J18" s="19">
        <v>7.0</v>
      </c>
      <c r="L18" s="20" t="s">
        <v>22</v>
      </c>
      <c r="M18" s="18">
        <v>2.0</v>
      </c>
      <c r="N18" s="18">
        <v>4.0</v>
      </c>
      <c r="O18" s="19">
        <v>7.0</v>
      </c>
      <c r="Q18" s="20" t="s">
        <v>22</v>
      </c>
      <c r="R18" s="18">
        <v>2.0</v>
      </c>
      <c r="S18" s="18">
        <v>4.0</v>
      </c>
      <c r="T18" s="19">
        <v>7.0</v>
      </c>
    </row>
    <row r="19" ht="15.75" customHeight="1">
      <c r="A19" s="9"/>
      <c r="B19" s="24" t="s">
        <v>26</v>
      </c>
      <c r="C19" s="25">
        <f t="shared" ref="C19:E19" si="13">LOG(C14)</f>
        <v>8.146128036</v>
      </c>
      <c r="D19" s="25">
        <f t="shared" si="13"/>
        <v>9.301029996</v>
      </c>
      <c r="E19" s="25">
        <f t="shared" si="13"/>
        <v>8.457377197</v>
      </c>
      <c r="G19" s="26" t="s">
        <v>26</v>
      </c>
      <c r="H19" s="25">
        <f t="shared" ref="H19:J19" si="14">LOG(H14)</f>
        <v>7.920818754</v>
      </c>
      <c r="I19" s="25">
        <f t="shared" si="14"/>
        <v>7.903089987</v>
      </c>
      <c r="J19" s="25">
        <f t="shared" si="14"/>
        <v>8.477121255</v>
      </c>
      <c r="L19" s="26" t="s">
        <v>26</v>
      </c>
      <c r="M19" s="25">
        <f t="shared" ref="M19:O19" si="15">LOG(M14)</f>
        <v>8.301029996</v>
      </c>
      <c r="N19" s="25">
        <f t="shared" si="15"/>
        <v>8.367976785</v>
      </c>
      <c r="O19" s="25">
        <f t="shared" si="15"/>
        <v>8.823908741</v>
      </c>
      <c r="Q19" s="26" t="s">
        <v>26</v>
      </c>
      <c r="R19" s="25">
        <f t="shared" ref="R19:T19" si="16">LOG(R14)</f>
        <v>8.367976785</v>
      </c>
      <c r="S19" s="25">
        <f t="shared" si="16"/>
        <v>7.954242509</v>
      </c>
      <c r="T19" s="25">
        <f t="shared" si="16"/>
        <v>8.301029996</v>
      </c>
    </row>
    <row r="20" ht="15.75" customHeight="1">
      <c r="A20" s="9"/>
    </row>
    <row r="21" ht="15.75" customHeight="1">
      <c r="A21" s="9"/>
    </row>
    <row r="22" ht="15.75" customHeight="1">
      <c r="A22" s="9"/>
      <c r="C22" s="16" t="s">
        <v>29</v>
      </c>
      <c r="D22" s="4"/>
      <c r="E22" s="4"/>
      <c r="F22" s="4"/>
      <c r="G22" s="5"/>
    </row>
    <row r="23" ht="15.75" customHeight="1">
      <c r="A23" s="9"/>
      <c r="B23" s="17" t="s">
        <v>22</v>
      </c>
      <c r="C23" s="18" t="s">
        <v>10</v>
      </c>
      <c r="D23" s="18" t="s">
        <v>11</v>
      </c>
      <c r="E23" s="19" t="s">
        <v>12</v>
      </c>
      <c r="F23" s="18" t="s">
        <v>13</v>
      </c>
      <c r="G23" s="29" t="s">
        <v>30</v>
      </c>
    </row>
    <row r="24" ht="15.75" customHeight="1">
      <c r="A24" s="9"/>
      <c r="B24" s="21">
        <v>2.0</v>
      </c>
      <c r="C24" s="22">
        <f>C19</f>
        <v>8.146128036</v>
      </c>
      <c r="D24" s="22">
        <f>H19</f>
        <v>7.920818754</v>
      </c>
      <c r="E24" s="22">
        <f>M19</f>
        <v>8.301029996</v>
      </c>
      <c r="F24" s="30">
        <f>R19</f>
        <v>8.367976785</v>
      </c>
      <c r="G24" s="31">
        <f t="shared" ref="G24:G26" si="17">AVERAGE(C24:F24)</f>
        <v>8.183988393</v>
      </c>
    </row>
    <row r="25" ht="15.75" customHeight="1">
      <c r="A25" s="9"/>
      <c r="B25" s="21">
        <v>4.0</v>
      </c>
      <c r="C25" s="22">
        <f>D19</f>
        <v>9.301029996</v>
      </c>
      <c r="D25" s="22">
        <f>I19</f>
        <v>7.903089987</v>
      </c>
      <c r="E25" s="22">
        <f>N19</f>
        <v>8.367976785</v>
      </c>
      <c r="F25" s="30">
        <f>S19</f>
        <v>7.954242509</v>
      </c>
      <c r="G25" s="31">
        <f t="shared" si="17"/>
        <v>8.381584819</v>
      </c>
    </row>
    <row r="26" ht="15.75" customHeight="1">
      <c r="A26" s="9"/>
      <c r="B26" s="21">
        <v>7.0</v>
      </c>
      <c r="C26" s="22">
        <f>E19</f>
        <v>8.457377197</v>
      </c>
      <c r="D26" s="22">
        <f>J19</f>
        <v>8.477121255</v>
      </c>
      <c r="E26" s="22">
        <f>O19</f>
        <v>8.823908741</v>
      </c>
      <c r="F26" s="30">
        <f>T19</f>
        <v>8.301029996</v>
      </c>
      <c r="G26" s="31">
        <f t="shared" si="17"/>
        <v>8.514859297</v>
      </c>
    </row>
    <row r="27" ht="15.75" customHeight="1">
      <c r="A27" s="9"/>
      <c r="B27" s="24" t="s">
        <v>26</v>
      </c>
      <c r="C27" s="25">
        <f t="shared" ref="C27:F27" si="18">AVERAGE(C24:C26)</f>
        <v>8.634845076</v>
      </c>
      <c r="D27" s="25">
        <f t="shared" si="18"/>
        <v>8.100343332</v>
      </c>
      <c r="E27" s="25">
        <f t="shared" si="18"/>
        <v>8.497638507</v>
      </c>
      <c r="F27" s="32">
        <f t="shared" si="18"/>
        <v>8.207749763</v>
      </c>
      <c r="G27" s="33"/>
    </row>
    <row r="28" ht="15.75" customHeight="1">
      <c r="A28" s="9"/>
    </row>
    <row r="29" ht="15.75" customHeight="1">
      <c r="A29" s="9"/>
      <c r="C29" s="16" t="s">
        <v>28</v>
      </c>
      <c r="D29" s="4"/>
      <c r="E29" s="5"/>
    </row>
    <row r="30" ht="15.75" customHeight="1">
      <c r="A30" s="9"/>
      <c r="B30" s="17" t="s">
        <v>22</v>
      </c>
      <c r="C30" s="18">
        <v>2.0</v>
      </c>
      <c r="D30" s="18">
        <v>4.0</v>
      </c>
      <c r="E30" s="19">
        <v>7.0</v>
      </c>
    </row>
    <row r="31" ht="15.75" customHeight="1">
      <c r="A31" s="9"/>
      <c r="B31" s="24" t="s">
        <v>26</v>
      </c>
      <c r="C31" s="34">
        <f>G24</f>
        <v>8.183988393</v>
      </c>
      <c r="D31" s="34">
        <f>G25</f>
        <v>8.381584819</v>
      </c>
      <c r="E31" s="34">
        <f>G26</f>
        <v>8.514859297</v>
      </c>
    </row>
    <row r="32" ht="15.75" customHeight="1">
      <c r="A32" s="9"/>
      <c r="B32" s="27" t="s">
        <v>27</v>
      </c>
      <c r="C32" s="34">
        <f>_xlfn.STDEV.P(C24:F24)</f>
        <v>0.1719317676</v>
      </c>
      <c r="D32" s="34">
        <f>_xlfn.STDEV.P(C25:F25)</f>
        <v>0.5606120239</v>
      </c>
      <c r="E32" s="34">
        <f>_xlfn.STDEV.P(C26:F26)</f>
        <v>0.1910254437</v>
      </c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M17:O17"/>
    <mergeCell ref="R17:T17"/>
    <mergeCell ref="C22:G22"/>
    <mergeCell ref="C29:E29"/>
    <mergeCell ref="B5:C5"/>
    <mergeCell ref="C9:E9"/>
    <mergeCell ref="H9:J9"/>
    <mergeCell ref="M9:O9"/>
    <mergeCell ref="R9:T9"/>
    <mergeCell ref="C17:E17"/>
    <mergeCell ref="H17:J1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7" max="7" width="17.75"/>
    <col customWidth="1" min="12" max="12" width="17.75"/>
    <col customWidth="1" min="17" max="17" width="17.75"/>
  </cols>
  <sheetData>
    <row r="1" ht="15.75" customHeight="1">
      <c r="A1" s="9"/>
      <c r="B1" s="10" t="s">
        <v>14</v>
      </c>
      <c r="C1" s="6" t="s">
        <v>15</v>
      </c>
      <c r="D1" s="6" t="s">
        <v>16</v>
      </c>
    </row>
    <row r="2" ht="15.75" customHeight="1">
      <c r="A2" s="9"/>
      <c r="B2" s="11">
        <v>0.04861111111111111</v>
      </c>
      <c r="C2" s="13" t="s">
        <v>17</v>
      </c>
      <c r="D2" s="12">
        <v>10.0</v>
      </c>
    </row>
    <row r="3" ht="15.75" customHeight="1">
      <c r="A3" s="9"/>
      <c r="B3" s="11">
        <v>0.04861111111111111</v>
      </c>
      <c r="C3" s="13" t="s">
        <v>18</v>
      </c>
      <c r="D3" s="12">
        <v>10.0</v>
      </c>
    </row>
    <row r="4" ht="15.75" customHeight="1">
      <c r="A4" s="9"/>
      <c r="B4" s="11">
        <v>0.04861111111111111</v>
      </c>
      <c r="C4" s="12" t="s">
        <v>19</v>
      </c>
      <c r="D4" s="12">
        <v>10.0</v>
      </c>
    </row>
    <row r="5" ht="15.75" customHeight="1">
      <c r="A5" s="9"/>
      <c r="B5" s="14" t="s">
        <v>20</v>
      </c>
      <c r="C5" s="5"/>
      <c r="D5" s="12">
        <f>D2*D3*D4</f>
        <v>1000</v>
      </c>
    </row>
    <row r="6" ht="15.75" customHeight="1">
      <c r="A6" s="9"/>
      <c r="C6" s="15" t="s">
        <v>21</v>
      </c>
      <c r="D6" s="12">
        <v>0.01</v>
      </c>
    </row>
    <row r="7" ht="15.75" customHeight="1">
      <c r="A7" s="9"/>
    </row>
    <row r="8" ht="15.75" customHeight="1">
      <c r="A8" s="9"/>
    </row>
    <row r="9" ht="15.75" customHeight="1">
      <c r="A9" s="9"/>
      <c r="C9" s="16">
        <v>2.0</v>
      </c>
      <c r="D9" s="4"/>
      <c r="E9" s="5"/>
      <c r="H9" s="16" t="s">
        <v>11</v>
      </c>
      <c r="I9" s="4"/>
      <c r="J9" s="5"/>
      <c r="M9" s="16" t="s">
        <v>12</v>
      </c>
      <c r="N9" s="4"/>
      <c r="O9" s="5"/>
      <c r="R9" s="16" t="s">
        <v>13</v>
      </c>
      <c r="S9" s="4"/>
      <c r="T9" s="5"/>
    </row>
    <row r="10" ht="15.75" customHeight="1">
      <c r="A10" s="9"/>
      <c r="B10" s="17" t="s">
        <v>22</v>
      </c>
      <c r="C10" s="18">
        <v>2.0</v>
      </c>
      <c r="D10" s="18">
        <v>4.0</v>
      </c>
      <c r="E10" s="19">
        <v>7.0</v>
      </c>
      <c r="G10" s="20" t="s">
        <v>22</v>
      </c>
      <c r="H10" s="18">
        <v>2.0</v>
      </c>
      <c r="I10" s="18">
        <v>4.0</v>
      </c>
      <c r="J10" s="19">
        <v>7.0</v>
      </c>
      <c r="L10" s="20" t="s">
        <v>22</v>
      </c>
      <c r="M10" s="18">
        <v>2.0</v>
      </c>
      <c r="N10" s="18">
        <v>4.0</v>
      </c>
      <c r="O10" s="19">
        <v>7.0</v>
      </c>
      <c r="Q10" s="20" t="s">
        <v>22</v>
      </c>
      <c r="R10" s="18">
        <v>2.0</v>
      </c>
      <c r="S10" s="18">
        <v>4.0</v>
      </c>
      <c r="T10" s="19">
        <v>7.0</v>
      </c>
    </row>
    <row r="11" ht="15.75" customHeight="1">
      <c r="A11" s="9"/>
      <c r="B11" s="21" t="s">
        <v>23</v>
      </c>
      <c r="C11" s="22">
        <f>(5*10^2*$D$5)/$D$6</f>
        <v>50000000</v>
      </c>
      <c r="D11" s="22">
        <f>(4*10^3*$D$5)/$D$6</f>
        <v>400000000</v>
      </c>
      <c r="E11" s="22">
        <f>(8*10^2*$D$5)/$D$6</f>
        <v>80000000</v>
      </c>
      <c r="G11" s="23" t="s">
        <v>23</v>
      </c>
      <c r="H11" s="22">
        <f>(15*10^2*$D$5)/$D$6</f>
        <v>150000000</v>
      </c>
      <c r="I11" s="22">
        <f>(3*10^3*$D$5)/$D$6</f>
        <v>300000000</v>
      </c>
      <c r="J11" s="22">
        <f>(9*10^2*$D$5)/$D$6</f>
        <v>90000000</v>
      </c>
      <c r="L11" s="23" t="s">
        <v>23</v>
      </c>
      <c r="M11" s="22">
        <f>(3*10^3*$D$5)/$D$6</f>
        <v>300000000</v>
      </c>
      <c r="N11" s="22">
        <f t="shared" ref="N11:O11" si="1">(4*10^3*$D$5)/$D$6</f>
        <v>400000000</v>
      </c>
      <c r="O11" s="22">
        <f t="shared" si="1"/>
        <v>400000000</v>
      </c>
      <c r="Q11" s="23" t="s">
        <v>23</v>
      </c>
      <c r="R11" s="22">
        <f>(2*10^3*$D$5)/$D$6</f>
        <v>200000000</v>
      </c>
      <c r="S11" s="22">
        <f>(1*10^3*$D$5)/$D$6</f>
        <v>100000000</v>
      </c>
      <c r="T11" s="22">
        <f>(4*10^3*$D$5)/$D$6</f>
        <v>400000000</v>
      </c>
    </row>
    <row r="12" ht="15.75" customHeight="1">
      <c r="A12" s="9"/>
      <c r="B12" s="21" t="s">
        <v>24</v>
      </c>
      <c r="C12" s="22">
        <f>(8*10^2*$D$5)/$D$6</f>
        <v>80000000</v>
      </c>
      <c r="D12" s="22">
        <f>(11*10^2*$D$5)/$D$6</f>
        <v>110000000</v>
      </c>
      <c r="E12" s="22">
        <f>(3*10^3*$D$5)/$D$6</f>
        <v>300000000</v>
      </c>
      <c r="G12" s="23" t="s">
        <v>24</v>
      </c>
      <c r="H12" s="22">
        <f t="shared" ref="H12:H13" si="2">(2*10^3*$D$5)/$D$6</f>
        <v>200000000</v>
      </c>
      <c r="I12" s="22">
        <f>(4*10^3*$D$5)/$D$6</f>
        <v>400000000</v>
      </c>
      <c r="J12" s="22">
        <f>(8*10^2*$D$5)/$D$6</f>
        <v>80000000</v>
      </c>
      <c r="L12" s="23" t="s">
        <v>24</v>
      </c>
      <c r="M12" s="22">
        <f t="shared" ref="M12:M13" si="3">(2*10^3*$D$5)/$D$6</f>
        <v>200000000</v>
      </c>
      <c r="N12" s="22">
        <f t="shared" ref="N12:N13" si="4">(3*10^3*$D$5)/$D$6</f>
        <v>300000000</v>
      </c>
      <c r="O12" s="22">
        <f>(5*10^3*$D$5)/$D$6</f>
        <v>500000000</v>
      </c>
      <c r="Q12" s="23" t="s">
        <v>24</v>
      </c>
      <c r="R12" s="22">
        <f>(1*10^3*$D$5)/$D$6</f>
        <v>100000000</v>
      </c>
      <c r="S12" s="22">
        <f>(2*10^3*$D$5)/$D$6</f>
        <v>200000000</v>
      </c>
      <c r="T12" s="22">
        <f>(7*10^2*$D$5)/$D$6</f>
        <v>70000000</v>
      </c>
    </row>
    <row r="13" ht="15.75" customHeight="1">
      <c r="A13" s="9"/>
      <c r="B13" s="21" t="s">
        <v>25</v>
      </c>
      <c r="C13" s="22">
        <f>(9*10^2*$D$5)/$D$6</f>
        <v>90000000</v>
      </c>
      <c r="D13" s="22">
        <f>(2*10^2*$D$5)/$D$6</f>
        <v>20000000</v>
      </c>
      <c r="E13" s="22">
        <f>(1*10^3*$D$5)/$D$6</f>
        <v>100000000</v>
      </c>
      <c r="G13" s="23" t="s">
        <v>25</v>
      </c>
      <c r="H13" s="22">
        <f t="shared" si="2"/>
        <v>200000000</v>
      </c>
      <c r="I13" s="22">
        <f>(1*10^3*$D$5)/$D$6</f>
        <v>100000000</v>
      </c>
      <c r="J13" s="22">
        <f>(7*10^2*$D$5)/$D$6</f>
        <v>70000000</v>
      </c>
      <c r="L13" s="23" t="s">
        <v>25</v>
      </c>
      <c r="M13" s="22">
        <f t="shared" si="3"/>
        <v>200000000</v>
      </c>
      <c r="N13" s="22">
        <f t="shared" si="4"/>
        <v>300000000</v>
      </c>
      <c r="O13" s="22">
        <f>(6*10^3*$D$5)/$D$6</f>
        <v>600000000</v>
      </c>
      <c r="Q13" s="23" t="s">
        <v>25</v>
      </c>
      <c r="R13" s="22">
        <f>(2*10^3*$D$5)/$D$6</f>
        <v>200000000</v>
      </c>
      <c r="S13" s="22">
        <f>(14*10^2*$D$5)/$D$6</f>
        <v>140000000</v>
      </c>
      <c r="T13" s="22">
        <f>(1*10^3*$D$5)/$D$6</f>
        <v>100000000</v>
      </c>
    </row>
    <row r="14" ht="15.75" customHeight="1">
      <c r="A14" s="9"/>
      <c r="B14" s="24" t="s">
        <v>26</v>
      </c>
      <c r="C14" s="25">
        <f t="shared" ref="C14:E14" si="5">AVERAGE(C11:C13)</f>
        <v>73333333.33</v>
      </c>
      <c r="D14" s="25">
        <f t="shared" si="5"/>
        <v>176666666.7</v>
      </c>
      <c r="E14" s="25">
        <f t="shared" si="5"/>
        <v>160000000</v>
      </c>
      <c r="G14" s="26" t="s">
        <v>26</v>
      </c>
      <c r="H14" s="25">
        <f t="shared" ref="H14:J14" si="6">AVERAGE(H11:H13)</f>
        <v>183333333.3</v>
      </c>
      <c r="I14" s="25">
        <f t="shared" si="6"/>
        <v>266666666.7</v>
      </c>
      <c r="J14" s="25">
        <f t="shared" si="6"/>
        <v>80000000</v>
      </c>
      <c r="L14" s="26" t="s">
        <v>26</v>
      </c>
      <c r="M14" s="25">
        <f t="shared" ref="M14:O14" si="7">AVERAGE(M11:M13)</f>
        <v>233333333.3</v>
      </c>
      <c r="N14" s="25">
        <f t="shared" si="7"/>
        <v>333333333.3</v>
      </c>
      <c r="O14" s="25">
        <f t="shared" si="7"/>
        <v>500000000</v>
      </c>
      <c r="Q14" s="26" t="s">
        <v>26</v>
      </c>
      <c r="R14" s="25">
        <f t="shared" ref="R14:T14" si="8">AVERAGE(R11:R13)</f>
        <v>166666666.7</v>
      </c>
      <c r="S14" s="25">
        <f t="shared" si="8"/>
        <v>146666666.7</v>
      </c>
      <c r="T14" s="25">
        <f t="shared" si="8"/>
        <v>190000000</v>
      </c>
    </row>
    <row r="15" ht="15.75" customHeight="1">
      <c r="A15" s="9"/>
      <c r="B15" s="27" t="s">
        <v>27</v>
      </c>
      <c r="C15" s="25">
        <f t="shared" ref="C15:E15" si="9">STDEV(C11:C13)</f>
        <v>20816659.99</v>
      </c>
      <c r="D15" s="25">
        <f t="shared" si="9"/>
        <v>198578280.1</v>
      </c>
      <c r="E15" s="25">
        <f t="shared" si="9"/>
        <v>121655250.6</v>
      </c>
      <c r="G15" s="28" t="s">
        <v>27</v>
      </c>
      <c r="H15" s="25">
        <f t="shared" ref="H15:J15" si="10">STDEV(H11:H13)</f>
        <v>28867513.46</v>
      </c>
      <c r="I15" s="25">
        <f t="shared" si="10"/>
        <v>152752523.2</v>
      </c>
      <c r="J15" s="25">
        <f t="shared" si="10"/>
        <v>10000000</v>
      </c>
      <c r="L15" s="28" t="s">
        <v>27</v>
      </c>
      <c r="M15" s="25">
        <f t="shared" ref="M15:O15" si="11">STDEV(M11:M13)</f>
        <v>57735026.92</v>
      </c>
      <c r="N15" s="25">
        <f t="shared" si="11"/>
        <v>57735026.92</v>
      </c>
      <c r="O15" s="25">
        <f t="shared" si="11"/>
        <v>100000000</v>
      </c>
      <c r="Q15" s="28" t="s">
        <v>27</v>
      </c>
      <c r="R15" s="25">
        <f t="shared" ref="R15:T15" si="12">STDEV(R11:R13)</f>
        <v>57735026.92</v>
      </c>
      <c r="S15" s="25">
        <f t="shared" si="12"/>
        <v>50332229.57</v>
      </c>
      <c r="T15" s="25">
        <f t="shared" si="12"/>
        <v>182482875.9</v>
      </c>
    </row>
    <row r="16" ht="15.75" customHeight="1">
      <c r="A16" s="9"/>
    </row>
    <row r="17" ht="15.75" customHeight="1">
      <c r="A17" s="9"/>
      <c r="C17" s="16" t="s">
        <v>28</v>
      </c>
      <c r="D17" s="4"/>
      <c r="E17" s="5"/>
      <c r="H17" s="16" t="s">
        <v>28</v>
      </c>
      <c r="I17" s="4"/>
      <c r="J17" s="5"/>
      <c r="M17" s="16" t="s">
        <v>28</v>
      </c>
      <c r="N17" s="4"/>
      <c r="O17" s="5"/>
      <c r="R17" s="16" t="s">
        <v>28</v>
      </c>
      <c r="S17" s="4"/>
      <c r="T17" s="5"/>
    </row>
    <row r="18" ht="15.75" customHeight="1">
      <c r="A18" s="9"/>
      <c r="B18" s="17" t="s">
        <v>22</v>
      </c>
      <c r="C18" s="18">
        <v>2.0</v>
      </c>
      <c r="D18" s="18">
        <v>4.0</v>
      </c>
      <c r="E18" s="19">
        <v>7.0</v>
      </c>
      <c r="G18" s="20" t="s">
        <v>22</v>
      </c>
      <c r="H18" s="18">
        <v>2.0</v>
      </c>
      <c r="I18" s="18">
        <v>4.0</v>
      </c>
      <c r="J18" s="19">
        <v>7.0</v>
      </c>
      <c r="L18" s="20" t="s">
        <v>22</v>
      </c>
      <c r="M18" s="18">
        <v>2.0</v>
      </c>
      <c r="N18" s="18">
        <v>4.0</v>
      </c>
      <c r="O18" s="19">
        <v>7.0</v>
      </c>
      <c r="Q18" s="20" t="s">
        <v>22</v>
      </c>
      <c r="R18" s="18">
        <v>2.0</v>
      </c>
      <c r="S18" s="18">
        <v>4.0</v>
      </c>
      <c r="T18" s="19">
        <v>7.0</v>
      </c>
    </row>
    <row r="19" ht="15.75" customHeight="1">
      <c r="A19" s="9"/>
      <c r="B19" s="24" t="s">
        <v>26</v>
      </c>
      <c r="C19" s="25">
        <f t="shared" ref="C19:E19" si="13">LOG(C14)</f>
        <v>7.865301426</v>
      </c>
      <c r="D19" s="25">
        <f t="shared" si="13"/>
        <v>8.247154615</v>
      </c>
      <c r="E19" s="25">
        <f t="shared" si="13"/>
        <v>8.204119983</v>
      </c>
      <c r="G19" s="26" t="s">
        <v>26</v>
      </c>
      <c r="H19" s="25">
        <f t="shared" ref="H19:J19" si="14">LOG(H14)</f>
        <v>8.263241435</v>
      </c>
      <c r="I19" s="25">
        <f t="shared" si="14"/>
        <v>8.425968732</v>
      </c>
      <c r="J19" s="25">
        <f t="shared" si="14"/>
        <v>7.903089987</v>
      </c>
      <c r="L19" s="26" t="s">
        <v>26</v>
      </c>
      <c r="M19" s="25">
        <f t="shared" ref="M19:O19" si="15">LOG(M14)</f>
        <v>8.367976785</v>
      </c>
      <c r="N19" s="25">
        <f t="shared" si="15"/>
        <v>8.522878745</v>
      </c>
      <c r="O19" s="25">
        <f t="shared" si="15"/>
        <v>8.698970004</v>
      </c>
      <c r="Q19" s="26" t="s">
        <v>26</v>
      </c>
      <c r="R19" s="25">
        <f t="shared" ref="R19:T19" si="16">LOG(R14)</f>
        <v>8.22184875</v>
      </c>
      <c r="S19" s="25">
        <f t="shared" si="16"/>
        <v>8.166331422</v>
      </c>
      <c r="T19" s="25">
        <f t="shared" si="16"/>
        <v>8.278753601</v>
      </c>
    </row>
    <row r="20" ht="15.75" customHeight="1">
      <c r="A20" s="9"/>
    </row>
    <row r="21" ht="15.75" customHeight="1">
      <c r="A21" s="9"/>
    </row>
    <row r="22" ht="15.75" customHeight="1">
      <c r="A22" s="9"/>
      <c r="C22" s="16" t="s">
        <v>29</v>
      </c>
      <c r="D22" s="4"/>
      <c r="E22" s="4"/>
      <c r="F22" s="4"/>
      <c r="G22" s="5"/>
    </row>
    <row r="23" ht="15.75" customHeight="1">
      <c r="A23" s="9"/>
      <c r="B23" s="17" t="s">
        <v>22</v>
      </c>
      <c r="C23" s="18" t="s">
        <v>10</v>
      </c>
      <c r="D23" s="18" t="s">
        <v>11</v>
      </c>
      <c r="E23" s="19" t="s">
        <v>12</v>
      </c>
      <c r="F23" s="18" t="s">
        <v>13</v>
      </c>
      <c r="G23" s="29" t="s">
        <v>30</v>
      </c>
    </row>
    <row r="24" ht="15.75" customHeight="1">
      <c r="A24" s="9"/>
      <c r="B24" s="21">
        <v>2.0</v>
      </c>
      <c r="C24" s="22">
        <f>C19</f>
        <v>7.865301426</v>
      </c>
      <c r="D24" s="22">
        <f>H19</f>
        <v>8.263241435</v>
      </c>
      <c r="E24" s="22">
        <f>M19</f>
        <v>8.367976785</v>
      </c>
      <c r="F24" s="30">
        <f>R19</f>
        <v>8.22184875</v>
      </c>
      <c r="G24" s="31">
        <f t="shared" ref="G24:G26" si="17">AVERAGE(C24:F24)</f>
        <v>8.179592099</v>
      </c>
    </row>
    <row r="25" ht="15.75" customHeight="1">
      <c r="A25" s="9"/>
      <c r="B25" s="21">
        <v>4.0</v>
      </c>
      <c r="C25" s="22">
        <f>D19</f>
        <v>8.247154615</v>
      </c>
      <c r="D25" s="22">
        <f>I19</f>
        <v>8.425968732</v>
      </c>
      <c r="E25" s="22">
        <f>N19</f>
        <v>8.522878745</v>
      </c>
      <c r="F25" s="30">
        <f>S19</f>
        <v>8.166331422</v>
      </c>
      <c r="G25" s="31">
        <f t="shared" si="17"/>
        <v>8.340583379</v>
      </c>
    </row>
    <row r="26" ht="15.75" customHeight="1">
      <c r="A26" s="9"/>
      <c r="B26" s="21">
        <v>7.0</v>
      </c>
      <c r="C26" s="22">
        <f>E19</f>
        <v>8.204119983</v>
      </c>
      <c r="D26" s="22">
        <f>J19</f>
        <v>7.903089987</v>
      </c>
      <c r="E26" s="22">
        <f>O19</f>
        <v>8.698970004</v>
      </c>
      <c r="F26" s="30">
        <f>T19</f>
        <v>8.278753601</v>
      </c>
      <c r="G26" s="31">
        <f t="shared" si="17"/>
        <v>8.271233394</v>
      </c>
    </row>
    <row r="27" ht="15.75" customHeight="1">
      <c r="A27" s="9"/>
      <c r="B27" s="24" t="s">
        <v>26</v>
      </c>
      <c r="C27" s="25">
        <f t="shared" ref="C27:F27" si="18">AVERAGE(C24:C26)</f>
        <v>8.105525341</v>
      </c>
      <c r="D27" s="25">
        <f t="shared" si="18"/>
        <v>8.197433385</v>
      </c>
      <c r="E27" s="25">
        <f t="shared" si="18"/>
        <v>8.529941845</v>
      </c>
      <c r="F27" s="32">
        <f t="shared" si="18"/>
        <v>8.222311257</v>
      </c>
      <c r="G27" s="33"/>
    </row>
    <row r="28" ht="15.75" customHeight="1">
      <c r="A28" s="9"/>
    </row>
    <row r="29" ht="15.75" customHeight="1">
      <c r="A29" s="9"/>
      <c r="C29" s="16" t="s">
        <v>28</v>
      </c>
      <c r="D29" s="4"/>
      <c r="E29" s="5"/>
    </row>
    <row r="30" ht="15.75" customHeight="1">
      <c r="A30" s="9"/>
      <c r="B30" s="17" t="s">
        <v>22</v>
      </c>
      <c r="C30" s="18">
        <v>2.0</v>
      </c>
      <c r="D30" s="18">
        <v>4.0</v>
      </c>
      <c r="E30" s="19">
        <v>7.0</v>
      </c>
    </row>
    <row r="31" ht="15.75" customHeight="1">
      <c r="A31" s="9"/>
      <c r="B31" s="24" t="s">
        <v>26</v>
      </c>
      <c r="C31" s="34">
        <f>G24</f>
        <v>8.179592099</v>
      </c>
      <c r="D31" s="34">
        <f>G25</f>
        <v>8.340583379</v>
      </c>
      <c r="E31" s="34">
        <f>G26</f>
        <v>8.271233394</v>
      </c>
    </row>
    <row r="32" ht="15.75" customHeight="1">
      <c r="A32" s="9"/>
      <c r="B32" s="27" t="s">
        <v>27</v>
      </c>
      <c r="C32" s="34">
        <f>_xlfn.STDEV.P(C24:F24)</f>
        <v>0.1891099237</v>
      </c>
      <c r="D32" s="34">
        <f>_xlfn.STDEV.P(C25:F25)</f>
        <v>0.1410805955</v>
      </c>
      <c r="E32" s="34">
        <f>_xlfn.STDEV.P(C26:F26)</f>
        <v>0.2841869717</v>
      </c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M17:O17"/>
    <mergeCell ref="R17:T17"/>
    <mergeCell ref="C22:G22"/>
    <mergeCell ref="C29:E29"/>
    <mergeCell ref="B5:C5"/>
    <mergeCell ref="C9:E9"/>
    <mergeCell ref="H9:J9"/>
    <mergeCell ref="M9:O9"/>
    <mergeCell ref="R9:T9"/>
    <mergeCell ref="C17:E17"/>
    <mergeCell ref="H17:J1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6.25"/>
    <col customWidth="1" min="6" max="6" width="17.5"/>
    <col customWidth="1" min="7" max="7" width="17.75"/>
    <col customWidth="1" min="12" max="12" width="17.75"/>
    <col customWidth="1" min="17" max="17" width="17.75"/>
  </cols>
  <sheetData>
    <row r="1" ht="15.75" customHeight="1">
      <c r="A1" s="9"/>
      <c r="B1" s="10" t="s">
        <v>14</v>
      </c>
      <c r="C1" s="6" t="s">
        <v>15</v>
      </c>
      <c r="D1" s="6" t="s">
        <v>16</v>
      </c>
    </row>
    <row r="2" ht="15.75" customHeight="1">
      <c r="A2" s="9"/>
      <c r="B2" s="11">
        <v>0.04861111111111111</v>
      </c>
      <c r="C2" s="13" t="s">
        <v>17</v>
      </c>
      <c r="D2" s="12">
        <v>10.0</v>
      </c>
    </row>
    <row r="3" ht="15.75" customHeight="1">
      <c r="A3" s="9"/>
      <c r="B3" s="11">
        <v>0.04861111111111111</v>
      </c>
      <c r="C3" s="13" t="s">
        <v>18</v>
      </c>
      <c r="D3" s="12">
        <v>10.0</v>
      </c>
    </row>
    <row r="4" ht="15.75" customHeight="1">
      <c r="A4" s="9"/>
      <c r="B4" s="11">
        <v>0.04861111111111111</v>
      </c>
      <c r="C4" s="12" t="s">
        <v>19</v>
      </c>
      <c r="D4" s="12">
        <v>10.0</v>
      </c>
    </row>
    <row r="5" ht="15.75" customHeight="1">
      <c r="A5" s="9"/>
      <c r="B5" s="14" t="s">
        <v>20</v>
      </c>
      <c r="C5" s="5"/>
      <c r="D5" s="12">
        <f>D2*D3*D4</f>
        <v>1000</v>
      </c>
    </row>
    <row r="6" ht="15.75" customHeight="1">
      <c r="A6" s="9"/>
      <c r="C6" s="15" t="s">
        <v>21</v>
      </c>
      <c r="D6" s="12">
        <v>0.01</v>
      </c>
    </row>
    <row r="7" ht="15.75" customHeight="1">
      <c r="A7" s="9"/>
    </row>
    <row r="8" ht="15.75" customHeight="1">
      <c r="A8" s="9"/>
    </row>
    <row r="9" ht="15.75" customHeight="1">
      <c r="A9" s="9"/>
      <c r="C9" s="16">
        <v>2.0</v>
      </c>
      <c r="D9" s="4"/>
      <c r="E9" s="5"/>
      <c r="H9" s="16" t="s">
        <v>11</v>
      </c>
      <c r="I9" s="4"/>
      <c r="J9" s="5"/>
      <c r="M9" s="16" t="s">
        <v>12</v>
      </c>
      <c r="N9" s="4"/>
      <c r="O9" s="5"/>
      <c r="R9" s="16" t="s">
        <v>13</v>
      </c>
      <c r="S9" s="4"/>
      <c r="T9" s="5"/>
    </row>
    <row r="10" ht="15.75" customHeight="1">
      <c r="A10" s="9"/>
      <c r="B10" s="17" t="s">
        <v>22</v>
      </c>
      <c r="C10" s="18">
        <v>2.0</v>
      </c>
      <c r="D10" s="18">
        <v>4.0</v>
      </c>
      <c r="E10" s="19">
        <v>7.0</v>
      </c>
      <c r="G10" s="20" t="s">
        <v>22</v>
      </c>
      <c r="H10" s="18">
        <v>2.0</v>
      </c>
      <c r="I10" s="18">
        <v>4.0</v>
      </c>
      <c r="J10" s="19">
        <v>7.0</v>
      </c>
      <c r="L10" s="20" t="s">
        <v>22</v>
      </c>
      <c r="M10" s="18">
        <v>2.0</v>
      </c>
      <c r="N10" s="18">
        <v>4.0</v>
      </c>
      <c r="O10" s="19">
        <v>7.0</v>
      </c>
      <c r="Q10" s="20" t="s">
        <v>22</v>
      </c>
      <c r="R10" s="18">
        <v>2.0</v>
      </c>
      <c r="S10" s="18">
        <v>4.0</v>
      </c>
      <c r="T10" s="19">
        <v>7.0</v>
      </c>
    </row>
    <row r="11" ht="15.75" customHeight="1">
      <c r="A11" s="9"/>
      <c r="B11" s="21" t="s">
        <v>23</v>
      </c>
      <c r="C11" s="22">
        <f t="shared" ref="C11:C12" si="2">(4*10^3*$D$5)/$D$6</f>
        <v>400000000</v>
      </c>
      <c r="D11" s="22">
        <f>(11*10^3*$D$5)/$D$6</f>
        <v>1100000000</v>
      </c>
      <c r="E11" s="22">
        <f>(5*10^3*$D$5)/$D$6</f>
        <v>500000000</v>
      </c>
      <c r="G11" s="23" t="s">
        <v>23</v>
      </c>
      <c r="H11" s="22">
        <f t="shared" ref="H11:H12" si="3">(3*10^4*$D$5)/$D$6</f>
        <v>3000000000</v>
      </c>
      <c r="I11" s="22">
        <f>(6*10^3*$D$5)/$D$6</f>
        <v>600000000</v>
      </c>
      <c r="J11" s="22">
        <f>(8*10^3*$D$5)/$D$6</f>
        <v>800000000</v>
      </c>
      <c r="L11" s="23" t="s">
        <v>23</v>
      </c>
      <c r="M11" s="22">
        <f t="shared" ref="M11:N11" si="1">(2*10^4*$D$5)/$D$6</f>
        <v>2000000000</v>
      </c>
      <c r="N11" s="22">
        <f t="shared" si="1"/>
        <v>2000000000</v>
      </c>
      <c r="O11" s="22">
        <f>(7*10^3*$D$5)/$D$6</f>
        <v>700000000</v>
      </c>
      <c r="Q11" s="23" t="s">
        <v>23</v>
      </c>
      <c r="R11" s="22">
        <f>(2*10^4*$D$5)/$D$6</f>
        <v>2000000000</v>
      </c>
      <c r="S11" s="22">
        <f>(8*10^3*$D$5)/$D$6</f>
        <v>800000000</v>
      </c>
      <c r="T11" s="22">
        <f>(2*10^4*$D$5)/$D$6</f>
        <v>2000000000</v>
      </c>
    </row>
    <row r="12" ht="15.75" customHeight="1">
      <c r="A12" s="9"/>
      <c r="B12" s="21" t="s">
        <v>24</v>
      </c>
      <c r="C12" s="22">
        <f t="shared" si="2"/>
        <v>400000000</v>
      </c>
      <c r="D12" s="22">
        <f>(8*10^3*$D$5)/$D$6</f>
        <v>800000000</v>
      </c>
      <c r="E12" s="22">
        <f>(6*10^3*$D$5)/$D$6</f>
        <v>600000000</v>
      </c>
      <c r="G12" s="23" t="s">
        <v>24</v>
      </c>
      <c r="H12" s="22">
        <f t="shared" si="3"/>
        <v>3000000000</v>
      </c>
      <c r="I12" s="22">
        <f>(1*10^4*$D$5)/$D$6</f>
        <v>1000000000</v>
      </c>
      <c r="J12" s="22">
        <f>(7*10^3*$D$5)/$D$6</f>
        <v>700000000</v>
      </c>
      <c r="L12" s="23" t="s">
        <v>24</v>
      </c>
      <c r="M12" s="22">
        <f>(15*10^3*$D$5)/$D$6</f>
        <v>1500000000</v>
      </c>
      <c r="N12" s="22">
        <f>(1*10^4*$D$5)/$D$6</f>
        <v>1000000000</v>
      </c>
      <c r="O12" s="22">
        <f>(6*10^3*$D$5)/$D$6</f>
        <v>600000000</v>
      </c>
      <c r="Q12" s="23" t="s">
        <v>24</v>
      </c>
      <c r="R12" s="22">
        <f>(8*10^3*$D$5)/$D$6</f>
        <v>800000000</v>
      </c>
      <c r="S12" s="22">
        <f t="shared" ref="S12:T12" si="4">(1*10^4*$D$5)/$D$6</f>
        <v>1000000000</v>
      </c>
      <c r="T12" s="22">
        <f t="shared" si="4"/>
        <v>1000000000</v>
      </c>
    </row>
    <row r="13" ht="15.75" customHeight="1">
      <c r="A13" s="9"/>
      <c r="B13" s="21" t="s">
        <v>25</v>
      </c>
      <c r="C13" s="22">
        <f>(7*10^3*$D$5)/$D$6</f>
        <v>700000000</v>
      </c>
      <c r="D13" s="22">
        <f t="shared" ref="D13:E13" si="5">(6*10^3*$D$5)/$D$6</f>
        <v>600000000</v>
      </c>
      <c r="E13" s="22">
        <f t="shared" si="5"/>
        <v>600000000</v>
      </c>
      <c r="G13" s="23" t="s">
        <v>25</v>
      </c>
      <c r="H13" s="22">
        <f>(2*10^4*$D$5)/$D$6</f>
        <v>2000000000</v>
      </c>
      <c r="I13" s="22">
        <f>(5*10^3*$D$5)/$D$6</f>
        <v>500000000</v>
      </c>
      <c r="J13" s="22">
        <f>(6*10^3*$D$5)/$D$6</f>
        <v>600000000</v>
      </c>
      <c r="L13" s="23" t="s">
        <v>25</v>
      </c>
      <c r="M13" s="22">
        <f t="shared" ref="M13:N13" si="6">(2*10^4*$D$5)/$D$6</f>
        <v>2000000000</v>
      </c>
      <c r="N13" s="22">
        <f t="shared" si="6"/>
        <v>2000000000</v>
      </c>
      <c r="O13" s="22">
        <f>(9*10^3*$D$5)/$D$6</f>
        <v>900000000</v>
      </c>
      <c r="Q13" s="23" t="s">
        <v>25</v>
      </c>
      <c r="R13" s="22">
        <f>(4*10^4*$D$5)/$D$6</f>
        <v>4000000000</v>
      </c>
      <c r="S13" s="22">
        <f>(7*10^3*$D$5)/$D$6</f>
        <v>700000000</v>
      </c>
      <c r="T13" s="22">
        <f>(3*10^4*$D$5)/$D$6</f>
        <v>3000000000</v>
      </c>
    </row>
    <row r="14" ht="15.75" customHeight="1">
      <c r="A14" s="9"/>
      <c r="B14" s="24" t="s">
        <v>26</v>
      </c>
      <c r="C14" s="25">
        <f t="shared" ref="C14:E14" si="7">AVERAGE(C11:C13)</f>
        <v>500000000</v>
      </c>
      <c r="D14" s="25">
        <f t="shared" si="7"/>
        <v>833333333.3</v>
      </c>
      <c r="E14" s="25">
        <f t="shared" si="7"/>
        <v>566666666.7</v>
      </c>
      <c r="G14" s="26" t="s">
        <v>26</v>
      </c>
      <c r="H14" s="25">
        <f t="shared" ref="H14:J14" si="8">AVERAGE(H11:H13)</f>
        <v>2666666667</v>
      </c>
      <c r="I14" s="25">
        <f t="shared" si="8"/>
        <v>700000000</v>
      </c>
      <c r="J14" s="25">
        <f t="shared" si="8"/>
        <v>700000000</v>
      </c>
      <c r="L14" s="26" t="s">
        <v>26</v>
      </c>
      <c r="M14" s="25">
        <f t="shared" ref="M14:O14" si="9">AVERAGE(M11:M13)</f>
        <v>1833333333</v>
      </c>
      <c r="N14" s="25">
        <f t="shared" si="9"/>
        <v>1666666667</v>
      </c>
      <c r="O14" s="25">
        <f t="shared" si="9"/>
        <v>733333333.3</v>
      </c>
      <c r="Q14" s="26" t="s">
        <v>26</v>
      </c>
      <c r="R14" s="25">
        <f t="shared" ref="R14:T14" si="10">AVERAGE(R11:R13)</f>
        <v>2266666667</v>
      </c>
      <c r="S14" s="25">
        <f t="shared" si="10"/>
        <v>833333333.3</v>
      </c>
      <c r="T14" s="25">
        <f t="shared" si="10"/>
        <v>2000000000</v>
      </c>
    </row>
    <row r="15" ht="15.75" customHeight="1">
      <c r="A15" s="9"/>
      <c r="B15" s="27" t="s">
        <v>27</v>
      </c>
      <c r="C15" s="25">
        <f t="shared" ref="C15:E15" si="11">STDEV(C11:C13)</f>
        <v>173205080.8</v>
      </c>
      <c r="D15" s="25">
        <f t="shared" si="11"/>
        <v>251661147.8</v>
      </c>
      <c r="E15" s="25">
        <f t="shared" si="11"/>
        <v>57735026.92</v>
      </c>
      <c r="G15" s="28" t="s">
        <v>27</v>
      </c>
      <c r="H15" s="25">
        <f t="shared" ref="H15:J15" si="12">STDEV(H11:H13)</f>
        <v>577350269.2</v>
      </c>
      <c r="I15" s="25">
        <f t="shared" si="12"/>
        <v>264575131.1</v>
      </c>
      <c r="J15" s="25">
        <f t="shared" si="12"/>
        <v>100000000</v>
      </c>
      <c r="L15" s="28" t="s">
        <v>27</v>
      </c>
      <c r="M15" s="25">
        <f t="shared" ref="M15:O15" si="13">STDEV(M11:M13)</f>
        <v>288675134.6</v>
      </c>
      <c r="N15" s="25">
        <f t="shared" si="13"/>
        <v>577350269.2</v>
      </c>
      <c r="O15" s="25">
        <f t="shared" si="13"/>
        <v>152752523.2</v>
      </c>
      <c r="Q15" s="28" t="s">
        <v>27</v>
      </c>
      <c r="R15" s="25">
        <f t="shared" ref="R15:T15" si="14">STDEV(R11:R13)</f>
        <v>1616580754</v>
      </c>
      <c r="S15" s="25">
        <f t="shared" si="14"/>
        <v>152752523.2</v>
      </c>
      <c r="T15" s="25">
        <f t="shared" si="14"/>
        <v>1000000000</v>
      </c>
    </row>
    <row r="16" ht="15.75" customHeight="1">
      <c r="A16" s="9"/>
    </row>
    <row r="17" ht="15.75" customHeight="1">
      <c r="A17" s="9"/>
      <c r="C17" s="16" t="s">
        <v>28</v>
      </c>
      <c r="D17" s="4"/>
      <c r="E17" s="5"/>
      <c r="H17" s="16" t="s">
        <v>28</v>
      </c>
      <c r="I17" s="4"/>
      <c r="J17" s="5"/>
      <c r="M17" s="16" t="s">
        <v>28</v>
      </c>
      <c r="N17" s="4"/>
      <c r="O17" s="5"/>
      <c r="R17" s="16" t="s">
        <v>28</v>
      </c>
      <c r="S17" s="4"/>
      <c r="T17" s="5"/>
    </row>
    <row r="18" ht="15.75" customHeight="1">
      <c r="A18" s="9"/>
      <c r="B18" s="17" t="s">
        <v>22</v>
      </c>
      <c r="C18" s="18">
        <v>2.0</v>
      </c>
      <c r="D18" s="18">
        <v>4.0</v>
      </c>
      <c r="E18" s="19">
        <v>7.0</v>
      </c>
      <c r="G18" s="20" t="s">
        <v>22</v>
      </c>
      <c r="H18" s="18">
        <v>2.0</v>
      </c>
      <c r="I18" s="18">
        <v>4.0</v>
      </c>
      <c r="J18" s="19">
        <v>7.0</v>
      </c>
      <c r="L18" s="20" t="s">
        <v>22</v>
      </c>
      <c r="M18" s="18">
        <v>2.0</v>
      </c>
      <c r="N18" s="18">
        <v>4.0</v>
      </c>
      <c r="O18" s="19">
        <v>7.0</v>
      </c>
      <c r="Q18" s="20" t="s">
        <v>22</v>
      </c>
      <c r="R18" s="18">
        <v>2.0</v>
      </c>
      <c r="S18" s="18">
        <v>4.0</v>
      </c>
      <c r="T18" s="19">
        <v>7.0</v>
      </c>
    </row>
    <row r="19" ht="15.75" customHeight="1">
      <c r="A19" s="9"/>
      <c r="B19" s="24" t="s">
        <v>26</v>
      </c>
      <c r="C19" s="25">
        <f t="shared" ref="C19:E19" si="15">LOG(C14)</f>
        <v>8.698970004</v>
      </c>
      <c r="D19" s="25">
        <f t="shared" si="15"/>
        <v>8.920818754</v>
      </c>
      <c r="E19" s="25">
        <f t="shared" si="15"/>
        <v>8.753327667</v>
      </c>
      <c r="G19" s="26" t="s">
        <v>26</v>
      </c>
      <c r="H19" s="25">
        <f t="shared" ref="H19:J19" si="16">LOG(H14)</f>
        <v>9.425968732</v>
      </c>
      <c r="I19" s="25">
        <f t="shared" si="16"/>
        <v>8.84509804</v>
      </c>
      <c r="J19" s="25">
        <f t="shared" si="16"/>
        <v>8.84509804</v>
      </c>
      <c r="L19" s="26" t="s">
        <v>26</v>
      </c>
      <c r="M19" s="25">
        <f t="shared" ref="M19:O19" si="17">LOG(M14)</f>
        <v>9.263241435</v>
      </c>
      <c r="N19" s="25">
        <f t="shared" si="17"/>
        <v>9.22184875</v>
      </c>
      <c r="O19" s="25">
        <f t="shared" si="17"/>
        <v>8.865301426</v>
      </c>
      <c r="Q19" s="26" t="s">
        <v>26</v>
      </c>
      <c r="R19" s="25">
        <f t="shared" ref="R19:T19" si="18">LOG(R14)</f>
        <v>9.355387658</v>
      </c>
      <c r="S19" s="25">
        <f t="shared" si="18"/>
        <v>8.920818754</v>
      </c>
      <c r="T19" s="25">
        <f t="shared" si="18"/>
        <v>9.301029996</v>
      </c>
    </row>
    <row r="20" ht="15.75" customHeight="1">
      <c r="A20" s="9"/>
    </row>
    <row r="21" ht="15.75" customHeight="1">
      <c r="A21" s="9"/>
    </row>
    <row r="22" ht="15.75" customHeight="1">
      <c r="A22" s="9"/>
      <c r="C22" s="16" t="s">
        <v>29</v>
      </c>
      <c r="D22" s="4"/>
      <c r="E22" s="4"/>
      <c r="F22" s="4"/>
      <c r="G22" s="5"/>
      <c r="H22" s="35"/>
    </row>
    <row r="23" ht="15.75" customHeight="1">
      <c r="A23" s="9"/>
      <c r="B23" s="17" t="s">
        <v>22</v>
      </c>
      <c r="C23" s="18" t="s">
        <v>10</v>
      </c>
      <c r="D23" s="18" t="s">
        <v>11</v>
      </c>
      <c r="E23" s="19" t="s">
        <v>12</v>
      </c>
      <c r="F23" s="18" t="s">
        <v>13</v>
      </c>
      <c r="G23" s="29" t="s">
        <v>30</v>
      </c>
    </row>
    <row r="24" ht="15.75" customHeight="1">
      <c r="A24" s="9"/>
      <c r="B24" s="21">
        <v>2.0</v>
      </c>
      <c r="C24" s="22">
        <f>C19</f>
        <v>8.698970004</v>
      </c>
      <c r="D24" s="22">
        <f>H19</f>
        <v>9.425968732</v>
      </c>
      <c r="E24" s="22">
        <f>M19</f>
        <v>9.263241435</v>
      </c>
      <c r="F24" s="30">
        <f>R19</f>
        <v>9.355387658</v>
      </c>
      <c r="G24" s="31">
        <f t="shared" ref="G24:G26" si="19">AVERAGE(C24:F24)</f>
        <v>9.185891957</v>
      </c>
    </row>
    <row r="25" ht="15.75" customHeight="1">
      <c r="A25" s="9"/>
      <c r="B25" s="21">
        <v>4.0</v>
      </c>
      <c r="C25" s="22">
        <f>D19</f>
        <v>8.920818754</v>
      </c>
      <c r="D25" s="22">
        <f>I19</f>
        <v>8.84509804</v>
      </c>
      <c r="E25" s="22">
        <f>N19</f>
        <v>9.22184875</v>
      </c>
      <c r="F25" s="30">
        <f>S19</f>
        <v>8.920818754</v>
      </c>
      <c r="G25" s="31">
        <f t="shared" si="19"/>
        <v>8.977146074</v>
      </c>
    </row>
    <row r="26" ht="15.75" customHeight="1">
      <c r="A26" s="9"/>
      <c r="B26" s="21">
        <v>7.0</v>
      </c>
      <c r="C26" s="22">
        <f>E19</f>
        <v>8.753327667</v>
      </c>
      <c r="D26" s="22">
        <f>J19</f>
        <v>8.84509804</v>
      </c>
      <c r="E26" s="22">
        <f>O19</f>
        <v>8.865301426</v>
      </c>
      <c r="F26" s="30">
        <f>T19</f>
        <v>9.301029996</v>
      </c>
      <c r="G26" s="31">
        <f t="shared" si="19"/>
        <v>8.941189282</v>
      </c>
    </row>
    <row r="27" ht="15.75" customHeight="1">
      <c r="A27" s="9"/>
      <c r="B27" s="24" t="s">
        <v>26</v>
      </c>
      <c r="C27" s="25">
        <f t="shared" ref="C27:F27" si="20">AVERAGE(C24:C26)</f>
        <v>8.791038808</v>
      </c>
      <c r="D27" s="25">
        <f t="shared" si="20"/>
        <v>9.038721604</v>
      </c>
      <c r="E27" s="25">
        <f t="shared" si="20"/>
        <v>9.116797203</v>
      </c>
      <c r="F27" s="32">
        <f t="shared" si="20"/>
        <v>9.192412136</v>
      </c>
      <c r="G27" s="33"/>
    </row>
    <row r="28" ht="15.75" customHeight="1">
      <c r="A28" s="9"/>
    </row>
    <row r="29" ht="15.75" customHeight="1">
      <c r="A29" s="9"/>
      <c r="C29" s="16" t="s">
        <v>28</v>
      </c>
      <c r="D29" s="4"/>
      <c r="E29" s="5"/>
    </row>
    <row r="30" ht="15.75" customHeight="1">
      <c r="A30" s="9"/>
      <c r="B30" s="17" t="s">
        <v>22</v>
      </c>
      <c r="C30" s="18">
        <v>2.0</v>
      </c>
      <c r="D30" s="18">
        <v>4.0</v>
      </c>
      <c r="E30" s="19">
        <v>7.0</v>
      </c>
    </row>
    <row r="31" ht="15.75" customHeight="1">
      <c r="A31" s="9"/>
      <c r="B31" s="24" t="s">
        <v>26</v>
      </c>
      <c r="C31" s="34">
        <f>G24</f>
        <v>9.185891957</v>
      </c>
      <c r="D31" s="34">
        <f>G25</f>
        <v>8.977146074</v>
      </c>
      <c r="E31" s="34">
        <f>G26</f>
        <v>8.941189282</v>
      </c>
    </row>
    <row r="32" ht="15.75" customHeight="1">
      <c r="A32" s="9"/>
      <c r="B32" s="27" t="s">
        <v>27</v>
      </c>
      <c r="C32" s="34">
        <f>_xlfn.STDEV.P(C24:F24)</f>
        <v>0.2869850085</v>
      </c>
      <c r="D32" s="34">
        <f>_xlfn.STDEV.P(C25:F25)</f>
        <v>0.1446215896</v>
      </c>
      <c r="E32" s="34">
        <f>_xlfn.STDEV.P(C26:F26)</f>
        <v>0.2119963556</v>
      </c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M17:O17"/>
    <mergeCell ref="R17:T17"/>
    <mergeCell ref="C22:G22"/>
    <mergeCell ref="C29:E29"/>
    <mergeCell ref="B5:C5"/>
    <mergeCell ref="C9:E9"/>
    <mergeCell ref="H9:J9"/>
    <mergeCell ref="M9:O9"/>
    <mergeCell ref="R9:T9"/>
    <mergeCell ref="C17:E17"/>
    <mergeCell ref="H17:J1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2" width="10.63"/>
    <col customWidth="1" min="23" max="23" width="25.38"/>
    <col customWidth="1" min="24" max="36" width="10.63"/>
  </cols>
  <sheetData>
    <row r="1" ht="12.0" customHeight="1"/>
    <row r="2" ht="12.0" customHeight="1"/>
    <row r="3" ht="12.0" customHeight="1">
      <c r="Q3" s="36"/>
    </row>
    <row r="4" ht="12.0" customHeight="1">
      <c r="P4" s="37"/>
      <c r="Q4" s="38" t="s">
        <v>31</v>
      </c>
      <c r="R4" s="4"/>
      <c r="S4" s="4"/>
      <c r="T4" s="5"/>
    </row>
    <row r="5" ht="12.0" customHeight="1">
      <c r="P5" s="39" t="s">
        <v>22</v>
      </c>
      <c r="Q5" s="39" t="s">
        <v>10</v>
      </c>
      <c r="R5" s="39" t="s">
        <v>11</v>
      </c>
      <c r="S5" s="39" t="s">
        <v>12</v>
      </c>
      <c r="T5" s="39" t="s">
        <v>13</v>
      </c>
      <c r="X5" s="40" t="s">
        <v>32</v>
      </c>
      <c r="Y5" s="40" t="s">
        <v>33</v>
      </c>
      <c r="Z5" s="40" t="s">
        <v>34</v>
      </c>
      <c r="AC5" s="36" t="s">
        <v>6</v>
      </c>
      <c r="AD5" s="36" t="s">
        <v>35</v>
      </c>
      <c r="AE5" s="36" t="s">
        <v>36</v>
      </c>
      <c r="AF5" s="36" t="s">
        <v>35</v>
      </c>
      <c r="AG5" s="36" t="s">
        <v>37</v>
      </c>
      <c r="AH5" s="36" t="s">
        <v>35</v>
      </c>
      <c r="AI5" s="36" t="s">
        <v>38</v>
      </c>
      <c r="AJ5" s="36" t="s">
        <v>35</v>
      </c>
    </row>
    <row r="6" ht="12.0" customHeight="1">
      <c r="P6" s="39">
        <v>2.0</v>
      </c>
      <c r="Q6" s="37">
        <v>7.865301426102544</v>
      </c>
      <c r="R6" s="37">
        <v>8.263241434774582</v>
      </c>
      <c r="S6" s="37">
        <v>8.367976785294594</v>
      </c>
      <c r="T6" s="37">
        <v>8.221848749616356</v>
      </c>
      <c r="W6" s="40" t="s">
        <v>39</v>
      </c>
      <c r="X6" s="40">
        <v>9.185891957342363</v>
      </c>
      <c r="Y6" s="40">
        <v>8.97714607438384</v>
      </c>
      <c r="Z6" s="40">
        <v>8.94118928210985</v>
      </c>
      <c r="AB6" s="40">
        <v>2.0</v>
      </c>
      <c r="AC6" s="40">
        <v>9.185891957342363</v>
      </c>
      <c r="AD6" s="40">
        <v>0.28698500848309677</v>
      </c>
      <c r="AE6" s="40">
        <v>8.183988392647297</v>
      </c>
      <c r="AF6" s="40">
        <v>0.17193176758985784</v>
      </c>
      <c r="AG6" s="40">
        <v>8.24345294551475</v>
      </c>
      <c r="AH6" s="40">
        <v>0.07169094765637674</v>
      </c>
      <c r="AI6" s="40">
        <v>8.179592098947019</v>
      </c>
      <c r="AJ6" s="40">
        <v>0.18910992371996893</v>
      </c>
    </row>
    <row r="7" ht="12.0" customHeight="1">
      <c r="P7" s="39">
        <v>4.0</v>
      </c>
      <c r="Q7" s="37">
        <v>8.247154614881127</v>
      </c>
      <c r="R7" s="37">
        <v>8.425968732272281</v>
      </c>
      <c r="S7" s="37">
        <v>8.522878745280337</v>
      </c>
      <c r="T7" s="37">
        <v>8.166331421766525</v>
      </c>
      <c r="W7" s="40" t="s">
        <v>40</v>
      </c>
      <c r="X7" s="40">
        <v>0.28698500848309677</v>
      </c>
      <c r="Y7" s="40">
        <v>0.14462158958882898</v>
      </c>
      <c r="Z7" s="40">
        <v>0.21199635562195096</v>
      </c>
      <c r="AB7" s="40">
        <v>4.0</v>
      </c>
      <c r="AC7" s="40">
        <v>8.97714607438384</v>
      </c>
      <c r="AD7" s="40">
        <v>0.14462158958882898</v>
      </c>
      <c r="AE7" s="40">
        <v>8.381584819347461</v>
      </c>
      <c r="AF7" s="40">
        <v>0.5606120238790497</v>
      </c>
      <c r="AG7" s="40">
        <v>8.162819503499536</v>
      </c>
      <c r="AH7" s="40">
        <v>0.2053918138867146</v>
      </c>
      <c r="AI7" s="40">
        <v>8.340583378550068</v>
      </c>
      <c r="AJ7" s="40">
        <v>0.14108059548108598</v>
      </c>
    </row>
    <row r="8" ht="12.0" customHeight="1">
      <c r="P8" s="39">
        <v>7.0</v>
      </c>
      <c r="Q8" s="37">
        <v>8.204119982655925</v>
      </c>
      <c r="R8" s="37">
        <v>7.903089986991944</v>
      </c>
      <c r="S8" s="37">
        <v>8.698970004336019</v>
      </c>
      <c r="T8" s="37">
        <v>8.278753600952829</v>
      </c>
      <c r="W8" s="40" t="s">
        <v>41</v>
      </c>
      <c r="X8" s="40">
        <v>8.183988392647297</v>
      </c>
      <c r="Y8" s="40">
        <v>8.381584819347461</v>
      </c>
      <c r="Z8" s="40">
        <v>8.514859296962968</v>
      </c>
      <c r="AB8" s="40">
        <v>7.0</v>
      </c>
      <c r="AC8" s="40">
        <v>8.94118928210985</v>
      </c>
      <c r="AD8" s="40">
        <v>0.21199635562195096</v>
      </c>
      <c r="AE8" s="40">
        <v>8.514859296962968</v>
      </c>
      <c r="AF8" s="40">
        <v>0.19102544373881114</v>
      </c>
      <c r="AG8" s="40">
        <v>8.146938131572021</v>
      </c>
      <c r="AH8" s="40">
        <v>0.15565677641670653</v>
      </c>
      <c r="AI8" s="40">
        <v>8.271233393734178</v>
      </c>
      <c r="AJ8" s="40">
        <v>0.28418697165778856</v>
      </c>
    </row>
    <row r="9" ht="12.0" customHeight="1">
      <c r="P9" s="41"/>
      <c r="W9" s="40" t="s">
        <v>42</v>
      </c>
      <c r="X9" s="40">
        <v>0.17193176758985784</v>
      </c>
      <c r="Y9" s="40">
        <v>0.5606120238790497</v>
      </c>
      <c r="Z9" s="40">
        <v>0.19102544373881114</v>
      </c>
    </row>
    <row r="10" ht="12.0" customHeight="1">
      <c r="Q10" s="36"/>
      <c r="W10" s="40" t="s">
        <v>43</v>
      </c>
      <c r="X10" s="40">
        <v>8.24345294551475</v>
      </c>
      <c r="Y10" s="40">
        <v>8.162819503499536</v>
      </c>
      <c r="Z10" s="40">
        <v>8.146938131572021</v>
      </c>
    </row>
    <row r="11" ht="12.0" customHeight="1">
      <c r="P11" s="37"/>
      <c r="Q11" s="38" t="s">
        <v>8</v>
      </c>
      <c r="R11" s="4"/>
      <c r="S11" s="4"/>
      <c r="T11" s="5"/>
      <c r="W11" s="40" t="s">
        <v>44</v>
      </c>
      <c r="X11" s="40">
        <v>0.07169094765637674</v>
      </c>
      <c r="Y11" s="40">
        <v>0.2053918138867146</v>
      </c>
      <c r="Z11" s="40">
        <v>0.15565677641670653</v>
      </c>
    </row>
    <row r="12" ht="12.0" customHeight="1">
      <c r="P12" s="39" t="s">
        <v>22</v>
      </c>
      <c r="Q12" s="39" t="s">
        <v>10</v>
      </c>
      <c r="R12" s="39" t="s">
        <v>11</v>
      </c>
      <c r="S12" s="39" t="s">
        <v>12</v>
      </c>
      <c r="T12" s="39" t="s">
        <v>13</v>
      </c>
      <c r="W12" s="40" t="s">
        <v>45</v>
      </c>
      <c r="X12" s="40">
        <v>8.179592098947019</v>
      </c>
      <c r="Y12" s="40">
        <v>8.340583378550068</v>
      </c>
      <c r="Z12" s="40">
        <v>8.271233393734178</v>
      </c>
    </row>
    <row r="13" ht="12.0" customHeight="1">
      <c r="P13" s="39">
        <v>2.0</v>
      </c>
      <c r="Q13" s="37">
        <v>8.146128035678238</v>
      </c>
      <c r="R13" s="37">
        <v>7.920818753952375</v>
      </c>
      <c r="S13" s="37">
        <v>8.301029995663981</v>
      </c>
      <c r="T13" s="37">
        <v>8.367976785294594</v>
      </c>
      <c r="W13" s="40" t="s">
        <v>46</v>
      </c>
      <c r="X13" s="40">
        <v>0.18910992371996893</v>
      </c>
      <c r="Y13" s="40">
        <v>0.14108059548108598</v>
      </c>
      <c r="Z13" s="40">
        <v>0.28418697165778856</v>
      </c>
    </row>
    <row r="14" ht="12.0" customHeight="1">
      <c r="P14" s="39">
        <v>4.0</v>
      </c>
      <c r="Q14" s="37">
        <v>9.301029995663981</v>
      </c>
      <c r="R14" s="37">
        <v>7.903089986991944</v>
      </c>
      <c r="S14" s="37">
        <v>8.367976785294594</v>
      </c>
      <c r="T14" s="37">
        <v>7.954242509439325</v>
      </c>
    </row>
    <row r="15" ht="12.0" customHeight="1">
      <c r="P15" s="39">
        <v>7.0</v>
      </c>
      <c r="Q15" s="37">
        <v>8.457377196523906</v>
      </c>
      <c r="R15" s="37">
        <v>8.477121254719663</v>
      </c>
      <c r="S15" s="37">
        <v>8.823908740944319</v>
      </c>
      <c r="T15" s="37">
        <v>8.301029995663981</v>
      </c>
    </row>
    <row r="16" ht="12.0" customHeight="1"/>
    <row r="17" ht="12.0" customHeight="1">
      <c r="Q17" s="36"/>
    </row>
    <row r="18" ht="12.0" customHeight="1">
      <c r="P18" s="37"/>
      <c r="Q18" s="38" t="s">
        <v>47</v>
      </c>
      <c r="R18" s="4"/>
      <c r="S18" s="4"/>
      <c r="T18" s="5"/>
    </row>
    <row r="19" ht="12.0" customHeight="1">
      <c r="P19" s="39" t="s">
        <v>22</v>
      </c>
      <c r="Q19" s="39" t="s">
        <v>10</v>
      </c>
      <c r="R19" s="39" t="s">
        <v>11</v>
      </c>
      <c r="S19" s="39" t="s">
        <v>12</v>
      </c>
      <c r="T19" s="39" t="s">
        <v>13</v>
      </c>
    </row>
    <row r="20" ht="12.0" customHeight="1">
      <c r="P20" s="39">
        <v>2.0</v>
      </c>
      <c r="Q20" s="37">
        <v>8.135662602000073</v>
      </c>
      <c r="R20" s="37">
        <v>8.301029995663981</v>
      </c>
      <c r="S20" s="37">
        <v>8.315270434778592</v>
      </c>
      <c r="T20" s="37">
        <v>8.221848749616356</v>
      </c>
    </row>
    <row r="21" ht="12.0" customHeight="1">
      <c r="P21" s="39">
        <v>4.0</v>
      </c>
      <c r="Q21" s="37">
        <v>8.301029995663981</v>
      </c>
      <c r="R21" s="37">
        <v>7.845098040014257</v>
      </c>
      <c r="S21" s="37">
        <v>8.380211241711606</v>
      </c>
      <c r="T21" s="37">
        <v>8.1249387366083</v>
      </c>
    </row>
    <row r="22" ht="12.0" customHeight="1">
      <c r="P22" s="39">
        <v>7.0</v>
      </c>
      <c r="Q22" s="37">
        <v>8.342422680822207</v>
      </c>
      <c r="R22" s="37">
        <v>7.920818753952375</v>
      </c>
      <c r="S22" s="37">
        <v>8.102662341897148</v>
      </c>
      <c r="T22" s="37">
        <v>8.221848749616356</v>
      </c>
    </row>
    <row r="23" ht="12.0" customHeight="1"/>
    <row r="24" ht="12.0" customHeight="1"/>
    <row r="25" ht="12.0" customHeight="1">
      <c r="P25" s="37"/>
      <c r="Q25" s="42" t="s">
        <v>6</v>
      </c>
      <c r="R25" s="4"/>
      <c r="S25" s="4"/>
      <c r="T25" s="5"/>
    </row>
    <row r="26" ht="12.0" customHeight="1">
      <c r="P26" s="39" t="s">
        <v>22</v>
      </c>
      <c r="Q26" s="39" t="s">
        <v>10</v>
      </c>
      <c r="R26" s="39" t="s">
        <v>11</v>
      </c>
      <c r="S26" s="39" t="s">
        <v>12</v>
      </c>
      <c r="T26" s="39" t="s">
        <v>13</v>
      </c>
    </row>
    <row r="27" ht="12.0" customHeight="1">
      <c r="P27" s="39">
        <v>2.0</v>
      </c>
      <c r="Q27" s="37">
        <v>8.698970004336019</v>
      </c>
      <c r="R27" s="37">
        <v>9.425968732272281</v>
      </c>
      <c r="S27" s="37">
        <v>9.263241434774582</v>
      </c>
      <c r="T27" s="37">
        <v>9.355387657986574</v>
      </c>
    </row>
    <row r="28" ht="12.0" customHeight="1">
      <c r="P28" s="39">
        <v>4.0</v>
      </c>
      <c r="Q28" s="37">
        <v>8.920818753952375</v>
      </c>
      <c r="R28" s="37">
        <v>8.845098040014257</v>
      </c>
      <c r="S28" s="37">
        <v>9.221848749616356</v>
      </c>
      <c r="T28" s="37">
        <v>8.920818753952375</v>
      </c>
    </row>
    <row r="29" ht="12.0" customHeight="1">
      <c r="P29" s="39">
        <v>7.0</v>
      </c>
      <c r="Q29" s="37">
        <v>8.753327666658612</v>
      </c>
      <c r="R29" s="37">
        <v>8.845098040014257</v>
      </c>
      <c r="S29" s="37">
        <v>8.865301426102544</v>
      </c>
      <c r="T29" s="37">
        <v>9.301029995663981</v>
      </c>
    </row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4">
    <mergeCell ref="Q4:T4"/>
    <mergeCell ref="Q11:T11"/>
    <mergeCell ref="Q18:T18"/>
    <mergeCell ref="Q25:T2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0" customHeight="1"/>
    <row r="2" ht="12.0" customHeight="1">
      <c r="B2" s="37"/>
      <c r="C2" s="38" t="s">
        <v>31</v>
      </c>
      <c r="D2" s="4"/>
      <c r="E2" s="4"/>
      <c r="F2" s="5"/>
    </row>
    <row r="3" ht="12.0" customHeight="1">
      <c r="B3" s="39" t="s">
        <v>22</v>
      </c>
      <c r="C3" s="39" t="s">
        <v>10</v>
      </c>
      <c r="D3" s="39" t="s">
        <v>11</v>
      </c>
      <c r="E3" s="39" t="s">
        <v>12</v>
      </c>
      <c r="F3" s="39" t="s">
        <v>13</v>
      </c>
      <c r="H3" s="37">
        <v>7.86530142610254</v>
      </c>
      <c r="I3" s="37">
        <v>8.247154614881127</v>
      </c>
      <c r="J3" s="37">
        <v>8.204119982655925</v>
      </c>
    </row>
    <row r="4" ht="12.0" customHeight="1">
      <c r="B4" s="39">
        <v>2.0</v>
      </c>
      <c r="C4" s="37">
        <v>7.865301426102544</v>
      </c>
      <c r="D4" s="37">
        <v>8.263241434774582</v>
      </c>
      <c r="E4" s="37">
        <v>8.367976785294594</v>
      </c>
      <c r="F4" s="37">
        <v>8.221848749616356</v>
      </c>
      <c r="H4" s="37">
        <v>8.263241434774582</v>
      </c>
      <c r="I4" s="37">
        <v>8.425968732272281</v>
      </c>
      <c r="J4" s="37">
        <v>7.903089986991944</v>
      </c>
    </row>
    <row r="5" ht="12.0" customHeight="1">
      <c r="B5" s="39">
        <v>4.0</v>
      </c>
      <c r="C5" s="37">
        <v>8.247154614881127</v>
      </c>
      <c r="D5" s="37">
        <v>8.425968732272281</v>
      </c>
      <c r="E5" s="37">
        <v>8.522878745280337</v>
      </c>
      <c r="F5" s="37">
        <v>8.166331421766525</v>
      </c>
      <c r="H5" s="37">
        <v>8.367976785294594</v>
      </c>
      <c r="I5" s="37">
        <v>8.522878745280337</v>
      </c>
      <c r="J5" s="37">
        <v>8.698970004336019</v>
      </c>
    </row>
    <row r="6" ht="12.0" customHeight="1">
      <c r="B6" s="39">
        <v>7.0</v>
      </c>
      <c r="C6" s="37">
        <v>8.204119982655925</v>
      </c>
      <c r="D6" s="37">
        <v>7.903089986991944</v>
      </c>
      <c r="E6" s="37">
        <v>8.698970004336019</v>
      </c>
      <c r="F6" s="37">
        <v>8.278753600952829</v>
      </c>
      <c r="H6" s="37">
        <v>8.221848749616356</v>
      </c>
      <c r="I6" s="37">
        <v>8.166331421766525</v>
      </c>
      <c r="J6" s="37">
        <v>8.278753600952829</v>
      </c>
    </row>
    <row r="7" ht="12.0" customHeight="1">
      <c r="B7" s="41"/>
    </row>
    <row r="8" ht="12.0" customHeight="1">
      <c r="C8" s="36"/>
    </row>
    <row r="9" ht="12.0" customHeight="1">
      <c r="B9" s="37"/>
      <c r="C9" s="38" t="s">
        <v>8</v>
      </c>
      <c r="D9" s="4"/>
      <c r="E9" s="4"/>
      <c r="F9" s="5"/>
    </row>
    <row r="10" ht="12.0" customHeight="1">
      <c r="B10" s="39" t="s">
        <v>22</v>
      </c>
      <c r="C10" s="39" t="s">
        <v>10</v>
      </c>
      <c r="D10" s="39" t="s">
        <v>11</v>
      </c>
      <c r="E10" s="39" t="s">
        <v>12</v>
      </c>
      <c r="F10" s="39" t="s">
        <v>13</v>
      </c>
      <c r="H10" s="37">
        <v>8.146128035678238</v>
      </c>
      <c r="I10" s="37">
        <v>9.301029995663981</v>
      </c>
      <c r="J10" s="37">
        <v>8.457377196523906</v>
      </c>
    </row>
    <row r="11" ht="12.0" customHeight="1">
      <c r="B11" s="39">
        <v>2.0</v>
      </c>
      <c r="C11" s="37">
        <v>8.146128035678238</v>
      </c>
      <c r="D11" s="37">
        <v>7.920818753952375</v>
      </c>
      <c r="E11" s="37">
        <v>8.301029995663981</v>
      </c>
      <c r="F11" s="37">
        <v>8.367976785294594</v>
      </c>
      <c r="H11" s="37">
        <v>7.920818753952375</v>
      </c>
      <c r="I11" s="37">
        <v>7.903089986991944</v>
      </c>
      <c r="J11" s="37">
        <v>8.477121254719663</v>
      </c>
    </row>
    <row r="12" ht="12.0" customHeight="1">
      <c r="B12" s="39">
        <v>4.0</v>
      </c>
      <c r="C12" s="37">
        <v>9.301029995663981</v>
      </c>
      <c r="D12" s="37">
        <v>7.903089986991944</v>
      </c>
      <c r="E12" s="37">
        <v>8.367976785294594</v>
      </c>
      <c r="F12" s="37">
        <v>7.954242509439325</v>
      </c>
      <c r="H12" s="37">
        <v>8.301029995663981</v>
      </c>
      <c r="I12" s="37">
        <v>8.367976785294594</v>
      </c>
      <c r="J12" s="37">
        <v>8.823908740944319</v>
      </c>
    </row>
    <row r="13" ht="12.0" customHeight="1">
      <c r="B13" s="39">
        <v>7.0</v>
      </c>
      <c r="C13" s="37">
        <v>8.457377196523906</v>
      </c>
      <c r="D13" s="37">
        <v>8.477121254719663</v>
      </c>
      <c r="E13" s="37">
        <v>8.823908740944319</v>
      </c>
      <c r="F13" s="37">
        <v>8.301029995663981</v>
      </c>
      <c r="H13" s="37">
        <v>8.367976785294594</v>
      </c>
      <c r="I13" s="37">
        <v>7.954242509439325</v>
      </c>
      <c r="J13" s="37">
        <v>8.301029995663981</v>
      </c>
    </row>
    <row r="14" ht="12.0" customHeight="1"/>
    <row r="15" ht="12.0" customHeight="1">
      <c r="C15" s="36"/>
    </row>
    <row r="16" ht="12.0" customHeight="1">
      <c r="B16" s="37"/>
      <c r="C16" s="38" t="s">
        <v>47</v>
      </c>
      <c r="D16" s="4"/>
      <c r="E16" s="4"/>
      <c r="F16" s="5"/>
    </row>
    <row r="17" ht="12.0" customHeight="1">
      <c r="B17" s="39" t="s">
        <v>22</v>
      </c>
      <c r="C17" s="39" t="s">
        <v>10</v>
      </c>
      <c r="D17" s="39" t="s">
        <v>11</v>
      </c>
      <c r="E17" s="39" t="s">
        <v>12</v>
      </c>
      <c r="F17" s="39" t="s">
        <v>13</v>
      </c>
    </row>
    <row r="18" ht="12.0" customHeight="1">
      <c r="B18" s="39">
        <v>2.0</v>
      </c>
      <c r="C18" s="37">
        <v>8.135662602000073</v>
      </c>
      <c r="D18" s="37">
        <v>8.301029995663981</v>
      </c>
      <c r="E18" s="37">
        <v>8.315270434778592</v>
      </c>
      <c r="F18" s="37">
        <v>8.221848749616356</v>
      </c>
      <c r="H18" s="37">
        <v>8.135662602000073</v>
      </c>
      <c r="I18" s="37">
        <v>8.301029995663981</v>
      </c>
      <c r="J18" s="37">
        <v>8.342422680822207</v>
      </c>
    </row>
    <row r="19" ht="12.0" customHeight="1">
      <c r="B19" s="39">
        <v>4.0</v>
      </c>
      <c r="C19" s="37">
        <v>8.301029995663981</v>
      </c>
      <c r="D19" s="37">
        <v>7.845098040014257</v>
      </c>
      <c r="E19" s="37">
        <v>8.380211241711606</v>
      </c>
      <c r="F19" s="37">
        <v>8.1249387366083</v>
      </c>
      <c r="H19" s="37">
        <v>8.301029995663981</v>
      </c>
      <c r="I19" s="37">
        <v>7.845098040014257</v>
      </c>
      <c r="J19" s="37">
        <v>7.920818753952375</v>
      </c>
    </row>
    <row r="20" ht="12.0" customHeight="1">
      <c r="B20" s="39">
        <v>7.0</v>
      </c>
      <c r="C20" s="37">
        <v>8.342422680822207</v>
      </c>
      <c r="D20" s="37">
        <v>7.920818753952375</v>
      </c>
      <c r="E20" s="37">
        <v>8.102662341897148</v>
      </c>
      <c r="F20" s="37">
        <v>8.221848749616356</v>
      </c>
      <c r="H20" s="37">
        <v>8.315270434778592</v>
      </c>
      <c r="I20" s="37">
        <v>8.380211241711606</v>
      </c>
      <c r="J20" s="37">
        <v>8.102662341897148</v>
      </c>
    </row>
    <row r="21" ht="12.0" customHeight="1">
      <c r="H21" s="37">
        <v>8.221848749616356</v>
      </c>
      <c r="I21" s="37">
        <v>8.1249387366083</v>
      </c>
      <c r="J21" s="37">
        <v>8.221848749616356</v>
      </c>
    </row>
    <row r="22" ht="12.0" customHeight="1"/>
    <row r="23" ht="12.0" customHeight="1">
      <c r="B23" s="37"/>
      <c r="C23" s="42" t="s">
        <v>6</v>
      </c>
      <c r="D23" s="4"/>
      <c r="E23" s="4"/>
      <c r="F23" s="5"/>
    </row>
    <row r="24" ht="12.0" customHeight="1">
      <c r="B24" s="39" t="s">
        <v>22</v>
      </c>
      <c r="C24" s="39" t="s">
        <v>10</v>
      </c>
      <c r="D24" s="39" t="s">
        <v>11</v>
      </c>
      <c r="E24" s="39" t="s">
        <v>12</v>
      </c>
      <c r="F24" s="39" t="s">
        <v>13</v>
      </c>
      <c r="H24" s="37">
        <v>8.698970004336019</v>
      </c>
      <c r="I24" s="37">
        <v>8.920818753952375</v>
      </c>
      <c r="J24" s="37">
        <v>8.753327666658612</v>
      </c>
    </row>
    <row r="25" ht="12.0" customHeight="1">
      <c r="B25" s="39">
        <v>2.0</v>
      </c>
      <c r="C25" s="37">
        <v>8.698970004336019</v>
      </c>
      <c r="D25" s="37">
        <v>9.425968732272281</v>
      </c>
      <c r="E25" s="37">
        <v>9.263241434774582</v>
      </c>
      <c r="F25" s="37">
        <v>9.355387657986574</v>
      </c>
      <c r="H25" s="37">
        <v>9.425968732272281</v>
      </c>
      <c r="I25" s="37">
        <v>8.845098040014257</v>
      </c>
      <c r="J25" s="37">
        <v>8.845098040014257</v>
      </c>
    </row>
    <row r="26" ht="12.0" customHeight="1">
      <c r="B26" s="39">
        <v>4.0</v>
      </c>
      <c r="C26" s="37">
        <v>8.920818753952375</v>
      </c>
      <c r="D26" s="37">
        <v>8.845098040014257</v>
      </c>
      <c r="E26" s="37">
        <v>9.221848749616356</v>
      </c>
      <c r="F26" s="37">
        <v>8.920818753952375</v>
      </c>
      <c r="H26" s="37">
        <v>9.263241434774582</v>
      </c>
      <c r="I26" s="37">
        <v>9.221848749616356</v>
      </c>
      <c r="J26" s="37">
        <v>8.865301426102544</v>
      </c>
    </row>
    <row r="27" ht="12.0" customHeight="1">
      <c r="B27" s="39">
        <v>7.0</v>
      </c>
      <c r="C27" s="37">
        <v>8.753327666658612</v>
      </c>
      <c r="D27" s="37">
        <v>8.845098040014257</v>
      </c>
      <c r="E27" s="37">
        <v>8.865301426102544</v>
      </c>
      <c r="F27" s="37">
        <v>9.301029995663981</v>
      </c>
      <c r="H27" s="37">
        <v>9.355387657986574</v>
      </c>
      <c r="I27" s="37">
        <v>8.920818753952375</v>
      </c>
      <c r="J27" s="37">
        <v>9.301029995663981</v>
      </c>
    </row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4">
    <mergeCell ref="C2:F2"/>
    <mergeCell ref="C9:F9"/>
    <mergeCell ref="C16:F16"/>
    <mergeCell ref="C23:F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
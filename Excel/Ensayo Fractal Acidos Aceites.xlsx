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ORA" sheetId="1" r:id="rId4"/>
    <sheet state="visible" name="Gallipro Fit" sheetId="2" r:id="rId5"/>
  </sheets>
  <definedNames/>
  <calcPr/>
  <extLst>
    <ext uri="GoogleSheetsCustomDataVersion2">
      <go:sheetsCustomData xmlns:go="http://customooxmlschemas.google.com/" r:id="rId6" roundtripDataChecksum="oseGXKBGDbqd07lHVsd3qzAse7f86ZFp13MY5BV4DYk="/>
    </ext>
  </extLst>
</workbook>
</file>

<file path=xl/sharedStrings.xml><?xml version="1.0" encoding="utf-8"?>
<sst xmlns="http://schemas.openxmlformats.org/spreadsheetml/2006/main" count="34" uniqueCount="13">
  <si>
    <t>Diluciones</t>
  </si>
  <si>
    <t>Vol (mL)</t>
  </si>
  <si>
    <t>Replica</t>
  </si>
  <si>
    <t>Dia 4</t>
  </si>
  <si>
    <t>Dia 7</t>
  </si>
  <si>
    <t>Dia 14</t>
  </si>
  <si>
    <t>Dia 21</t>
  </si>
  <si>
    <t>Dia 30</t>
  </si>
  <si>
    <t>Fractal</t>
  </si>
  <si>
    <t>a</t>
  </si>
  <si>
    <t>b</t>
  </si>
  <si>
    <t>Acido Formico</t>
  </si>
  <si>
    <t>Aceite de Romero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</si>
</sst>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/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1" fillId="0" fontId="2" numFmtId="0" xfId="0" applyBorder="1" applyFont="1"/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vertical="center"/>
    </xf>
    <xf borderId="1" fillId="0" fontId="1" numFmtId="11" xfId="0" applyAlignment="1" applyBorder="1" applyFont="1" applyNumberFormat="1">
      <alignment horizontal="center" vertical="center"/>
    </xf>
    <xf borderId="4" fillId="2" fontId="2" numFmtId="11" xfId="0" applyAlignment="1" applyBorder="1" applyFill="1" applyFont="1" applyNumberFormat="1">
      <alignment horizontal="center"/>
    </xf>
    <xf borderId="5" fillId="2" fontId="2" numFmtId="11" xfId="0" applyAlignment="1" applyBorder="1" applyFont="1" applyNumberFormat="1">
      <alignment horizontal="center"/>
    </xf>
    <xf borderId="5" fillId="0" fontId="2" numFmtId="11" xfId="0" applyAlignment="1" applyBorder="1" applyFont="1" applyNumberFormat="1">
      <alignment horizontal="center"/>
    </xf>
    <xf borderId="6" fillId="0" fontId="2" numFmtId="11" xfId="0" applyAlignment="1" applyBorder="1" applyFont="1" applyNumberFormat="1">
      <alignment horizontal="center"/>
    </xf>
    <xf borderId="7" fillId="0" fontId="3" numFmtId="0" xfId="0" applyBorder="1" applyFont="1"/>
    <xf borderId="8" fillId="2" fontId="2" numFmtId="11" xfId="0" applyAlignment="1" applyBorder="1" applyFont="1" applyNumberFormat="1">
      <alignment horizontal="center"/>
    </xf>
    <xf borderId="9" fillId="2" fontId="2" numFmtId="11" xfId="0" applyAlignment="1" applyBorder="1" applyFont="1" applyNumberFormat="1">
      <alignment horizontal="center"/>
    </xf>
    <xf borderId="7" fillId="0" fontId="2" numFmtId="11" xfId="0" applyAlignment="1" applyBorder="1" applyFont="1" applyNumberFormat="1">
      <alignment horizontal="center"/>
    </xf>
    <xf borderId="8" fillId="0" fontId="2" numFmtId="11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2" numFmtId="11" xfId="0" applyAlignment="1" applyBorder="1" applyFont="1" applyNumberFormat="1">
      <alignment horizontal="center"/>
    </xf>
    <xf borderId="10" fillId="0" fontId="3" numFmtId="0" xfId="0" applyBorder="1" applyFont="1"/>
    <xf borderId="1" fillId="0" fontId="1" numFmtId="0" xfId="0" applyAlignment="1" applyBorder="1" applyFont="1">
      <alignment horizontal="center" vertical="center"/>
    </xf>
    <xf borderId="10" fillId="0" fontId="2" numFmtId="11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vertical="center"/>
    </xf>
    <xf borderId="1" fillId="0" fontId="2" numFmtId="11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190500</xdr:colOff>
      <xdr:row>35</xdr:row>
      <xdr:rowOff>142875</xdr:rowOff>
    </xdr:from>
    <xdr:ext cx="6762750" cy="3076575"/>
    <xdr:pic>
      <xdr:nvPicPr>
        <xdr:cNvPr id="1221039805" name="Chart1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304800</xdr:colOff>
      <xdr:row>35</xdr:row>
      <xdr:rowOff>104775</xdr:rowOff>
    </xdr:from>
    <xdr:ext cx="6791325" cy="3209925"/>
    <xdr:pic>
      <xdr:nvPicPr>
        <xdr:cNvPr id="1466749519" name="Chart2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39" width="10.63"/>
  </cols>
  <sheetData>
    <row r="1" ht="14.25" customHeight="1">
      <c r="A1" s="1"/>
      <c r="B1" s="1"/>
      <c r="C1" s="2" t="s">
        <v>0</v>
      </c>
      <c r="D1" s="2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ht="14.25" customHeight="1">
      <c r="C2" s="3">
        <v>10.0</v>
      </c>
      <c r="D2" s="3">
        <v>0.01</v>
      </c>
    </row>
    <row r="3" ht="14.25" customHeight="1">
      <c r="C3" s="3">
        <v>10.0</v>
      </c>
      <c r="D3" s="3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A9" s="4"/>
      <c r="B9" s="5" t="s">
        <v>2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</row>
    <row r="10" ht="14.25" customHeight="1">
      <c r="A10" s="6" t="s">
        <v>8</v>
      </c>
      <c r="B10" s="7" t="s">
        <v>9</v>
      </c>
      <c r="C10" s="8">
        <f t="shared" ref="C10:C11" si="1">LOG10((2*10^3*$C$2)/$D$2)</f>
        <v>6.301029996</v>
      </c>
      <c r="D10" s="9">
        <f>LOG10((3*10^3*$C$2)/$D$2)</f>
        <v>6.477121255</v>
      </c>
      <c r="E10" s="9">
        <f>LOG10((5*10^3*$C$2)/$D$2)</f>
        <v>6.698970004</v>
      </c>
      <c r="F10" s="10">
        <f>LOG10((1*10^3*$C$2)/$D$2)</f>
        <v>6</v>
      </c>
      <c r="G10" s="11">
        <f>LOG10((2*10^3*$C$2)/$D$2)</f>
        <v>6.301029996</v>
      </c>
    </row>
    <row r="11" ht="14.25" customHeight="1">
      <c r="A11" s="12"/>
      <c r="B11" s="7" t="s">
        <v>10</v>
      </c>
      <c r="C11" s="13">
        <f t="shared" si="1"/>
        <v>6.301029996</v>
      </c>
      <c r="D11" s="14">
        <f>LOG10((17*10^2*$C$2)/$D$2)</f>
        <v>6.230448921</v>
      </c>
      <c r="E11" s="14">
        <f>LOG10((4*10^3*$C$2)/$D$2)</f>
        <v>6.602059991</v>
      </c>
      <c r="F11" s="15">
        <f>LOG10((2*10^3*$C$2)/$D$2)</f>
        <v>6.301029996</v>
      </c>
      <c r="G11" s="16">
        <f>LOG10((1*10^3*$C$2)/$D$2)</f>
        <v>6</v>
      </c>
    </row>
    <row r="12" ht="14.25" customHeight="1">
      <c r="A12" s="17" t="s">
        <v>11</v>
      </c>
      <c r="B12" s="18" t="s">
        <v>9</v>
      </c>
      <c r="C12" s="9">
        <f>LOG10((3*10^3*$C$2)/$D$2)</f>
        <v>6.477121255</v>
      </c>
      <c r="D12" s="9">
        <f t="shared" ref="D12:E12" si="2">LOG10((1*10^3*$C$2)/$D$2)</f>
        <v>6</v>
      </c>
      <c r="E12" s="9">
        <f t="shared" si="2"/>
        <v>6</v>
      </c>
      <c r="F12" s="19">
        <f>LOG10((3*10^3*$C$2)/$D$2)</f>
        <v>6.477121255</v>
      </c>
      <c r="G12" s="19">
        <f>LOG10((2*10^3*$C$2)/$D$2)</f>
        <v>6.301029996</v>
      </c>
    </row>
    <row r="13" ht="14.25" customHeight="1">
      <c r="A13" s="20"/>
      <c r="B13" s="21" t="s">
        <v>10</v>
      </c>
      <c r="C13" s="14">
        <f>LOG10((2*10^3*$C$2)/$D$2)</f>
        <v>6.301029996</v>
      </c>
      <c r="D13" s="14">
        <f t="shared" ref="D13:D14" si="3">LOG10((9*10^2*$C$2)/$D$2)</f>
        <v>5.954242509</v>
      </c>
      <c r="E13" s="14">
        <f>LOG10((6*10^3*$C$2)/$D$2)</f>
        <v>6.77815125</v>
      </c>
      <c r="F13" s="16">
        <f t="shared" ref="F13:F14" si="4">LOG10((4*10^3*$C$2)/$D$2)</f>
        <v>6.602059991</v>
      </c>
      <c r="G13" s="16">
        <f>LOG10((1*10^3*$C$2)/$D$2)</f>
        <v>6</v>
      </c>
    </row>
    <row r="14" ht="14.25" customHeight="1">
      <c r="A14" s="17" t="s">
        <v>12</v>
      </c>
      <c r="B14" s="21" t="s">
        <v>9</v>
      </c>
      <c r="C14" s="8">
        <f>LOG10((3*10^3*$C$2)/$D$2)</f>
        <v>6.477121255</v>
      </c>
      <c r="D14" s="9">
        <f t="shared" si="3"/>
        <v>5.954242509</v>
      </c>
      <c r="E14" s="9">
        <f t="shared" ref="E14:E15" si="5">LOG10((2*10^3*$C$2)/$D$2)</f>
        <v>6.301029996</v>
      </c>
      <c r="F14" s="10">
        <f t="shared" si="4"/>
        <v>6.602059991</v>
      </c>
      <c r="G14" s="10">
        <f>LOG10((3*10^3*$C$2)/$D$2)</f>
        <v>6.477121255</v>
      </c>
    </row>
    <row r="15" ht="14.25" customHeight="1">
      <c r="A15" s="20"/>
      <c r="B15" s="21" t="s">
        <v>10</v>
      </c>
      <c r="C15" s="13">
        <f>LOG10((1*10^3*$C$2)/$D$2)</f>
        <v>6</v>
      </c>
      <c r="D15" s="14">
        <f>LOG10((10*10^2*$C$2)/$D$2)</f>
        <v>6</v>
      </c>
      <c r="E15" s="14">
        <f t="shared" si="5"/>
        <v>6.301029996</v>
      </c>
      <c r="F15" s="22">
        <f>LOG10((1*10^3*$C$2)/$D$2)</f>
        <v>6</v>
      </c>
      <c r="G15" s="22">
        <f>LOG10((4*10^3*$C$2)/$D$2)</f>
        <v>6.602059991</v>
      </c>
      <c r="I15" s="23"/>
    </row>
    <row r="16" ht="14.25" customHeight="1">
      <c r="A16" s="24"/>
    </row>
    <row r="17" ht="14.25" customHeight="1">
      <c r="A17" s="24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0:A11"/>
    <mergeCell ref="A12:A13"/>
    <mergeCell ref="A14:A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32" width="10.63"/>
  </cols>
  <sheetData>
    <row r="1" ht="14.25" customHeight="1">
      <c r="A1" s="1"/>
      <c r="B1" s="1"/>
      <c r="C1" s="2" t="s">
        <v>0</v>
      </c>
      <c r="D1" s="2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4.25" customHeight="1">
      <c r="C2" s="3">
        <v>10.0</v>
      </c>
      <c r="D2" s="3">
        <v>0.01</v>
      </c>
    </row>
    <row r="3" ht="14.25" customHeight="1">
      <c r="C3" s="3">
        <v>10.0</v>
      </c>
      <c r="D3" s="3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A9" s="4"/>
      <c r="B9" s="5" t="s">
        <v>2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</row>
    <row r="10" ht="14.25" customHeight="1">
      <c r="A10" s="6" t="s">
        <v>8</v>
      </c>
      <c r="B10" s="7" t="s">
        <v>9</v>
      </c>
      <c r="C10" s="8">
        <f>LOG10((4*10^3*$C$2)/$D$2)</f>
        <v>6.602059991</v>
      </c>
      <c r="D10" s="9">
        <f t="shared" ref="D10:D11" si="2">LOG10((6*10^3*$C$2)/$D$2)</f>
        <v>6.77815125</v>
      </c>
      <c r="E10" s="9">
        <f t="shared" ref="E10:F10" si="1">LOG10((4*10^2*$C$2)/$D$2)</f>
        <v>5.602059991</v>
      </c>
      <c r="F10" s="10">
        <f t="shared" si="1"/>
        <v>5.602059991</v>
      </c>
      <c r="G10" s="11">
        <f>LOG10((6*10^2*$C$2)/$D$2)</f>
        <v>5.77815125</v>
      </c>
    </row>
    <row r="11" ht="14.25" customHeight="1">
      <c r="A11" s="12"/>
      <c r="B11" s="7" t="s">
        <v>10</v>
      </c>
      <c r="C11" s="13">
        <f>LOG10((2*10^3*$C$2)/$D$2)</f>
        <v>6.301029996</v>
      </c>
      <c r="D11" s="14">
        <f t="shared" si="2"/>
        <v>6.77815125</v>
      </c>
      <c r="E11" s="14">
        <f>LOG10((11*10^2*$C$2)/$D$2)</f>
        <v>6.041392685</v>
      </c>
      <c r="F11" s="16">
        <f>LOG10((1*10^3*$C$2)/$D$2)</f>
        <v>6</v>
      </c>
      <c r="G11" s="11">
        <f>LOG10((8*10^2*$C$2)/$D$2)</f>
        <v>5.903089987</v>
      </c>
    </row>
    <row r="12" ht="14.25" customHeight="1">
      <c r="A12" s="17" t="s">
        <v>11</v>
      </c>
      <c r="B12" s="18" t="s">
        <v>9</v>
      </c>
      <c r="C12" s="9">
        <f>LOG10((1*10^2*$C$2)/$D$2)</f>
        <v>5</v>
      </c>
      <c r="D12" s="9">
        <f t="shared" ref="D12:E12" si="3">LOG10((2*10^2*$C$2)/$D$2)</f>
        <v>5.301029996</v>
      </c>
      <c r="E12" s="9">
        <f t="shared" si="3"/>
        <v>5.301029996</v>
      </c>
      <c r="F12" s="19">
        <f>LOG10((3*10^2*$C$2)/$D$2)</f>
        <v>5.477121255</v>
      </c>
      <c r="G12" s="11">
        <f>LOG10((5*10^2*$C$2)/$D$2)</f>
        <v>5.698970004</v>
      </c>
    </row>
    <row r="13" ht="14.25" customHeight="1">
      <c r="A13" s="20"/>
      <c r="B13" s="21" t="s">
        <v>10</v>
      </c>
      <c r="C13" s="14">
        <f>LOG10((3*10^2*$C$2)/$D$2)</f>
        <v>5.477121255</v>
      </c>
      <c r="D13" s="14">
        <f t="shared" ref="D13:E13" si="4">LOG10((1*10^2*$C$2)/$D$2)</f>
        <v>5</v>
      </c>
      <c r="E13" s="14">
        <f t="shared" si="4"/>
        <v>5</v>
      </c>
      <c r="F13" s="16">
        <f>LOG10((4*10^2*$C$2)/$D$2)</f>
        <v>5.602059991</v>
      </c>
      <c r="G13" s="11">
        <f>LOG10((3*10^2*$C$2)/$D$2)</f>
        <v>5.477121255</v>
      </c>
    </row>
    <row r="14" ht="14.25" customHeight="1">
      <c r="A14" s="17" t="s">
        <v>12</v>
      </c>
      <c r="B14" s="21" t="s">
        <v>9</v>
      </c>
      <c r="C14" s="8">
        <f>LOG10((7*10^3*$C$2)/$D$2)</f>
        <v>6.84509804</v>
      </c>
      <c r="D14" s="9">
        <f>LOG10((4*10^2*$C$2)/$D$2)</f>
        <v>5.602059991</v>
      </c>
      <c r="E14" s="9">
        <f>LOG10((3*10^2*$C$2)/$D$2)</f>
        <v>5.477121255</v>
      </c>
      <c r="F14" s="10">
        <f>LOG10((2*10^2*$C$2)/$D$2)</f>
        <v>5.301029996</v>
      </c>
      <c r="G14" s="11">
        <f>LOG10((5*10^2*$C$2)/$D$2)</f>
        <v>5.698970004</v>
      </c>
    </row>
    <row r="15" ht="14.25" customHeight="1">
      <c r="A15" s="20"/>
      <c r="B15" s="21" t="s">
        <v>10</v>
      </c>
      <c r="C15" s="13">
        <f>LOG10((6*10^3*$C$2)/$D$2)</f>
        <v>6.77815125</v>
      </c>
      <c r="D15" s="14">
        <f>LOG10((3*10^2*$C$2)/$D$2)</f>
        <v>5.477121255</v>
      </c>
      <c r="E15" s="14">
        <f>LOG10((2*10^2*$C$2)/$D$2)</f>
        <v>5.301029996</v>
      </c>
      <c r="F15" s="22">
        <f t="shared" ref="F15:G15" si="5">LOG10((1*10^2*$C$2)/$D$2)</f>
        <v>5</v>
      </c>
      <c r="G15" s="25">
        <f t="shared" si="5"/>
        <v>5</v>
      </c>
      <c r="I15" s="23"/>
    </row>
    <row r="16" ht="14.25" customHeight="1">
      <c r="A16" s="24"/>
    </row>
    <row r="17" ht="14.25" customHeight="1">
      <c r="A17" s="24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0:A11"/>
    <mergeCell ref="A12:A13"/>
    <mergeCell ref="A14:A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2024-11-22T22:18:16Z</dcterms:created>
  <dc:creator>Antonia Arango Durango</dc:creator>
</cp:coreProperties>
</file>
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ORA" sheetId="1" r:id="rId4"/>
    <sheet state="visible" name="B.amyloliquefaciens" sheetId="2" r:id="rId5"/>
    <sheet state="visible" name="B.subtilis" sheetId="3" r:id="rId6"/>
    <sheet state="visible" name="B.licheniformis" sheetId="4" r:id="rId7"/>
    <sheet state="visible" name="Total" sheetId="5" r:id="rId8"/>
  </sheets>
  <externalReferences>
    <externalReference r:id="rId9"/>
  </externalReferences>
  <definedNames/>
  <calcPr/>
  <extLst>
    <ext uri="GoogleSheetsCustomDataVersion2">
      <go:sheetsCustomData xmlns:go="http://customooxmlschemas.google.com/" r:id="rId10" roundtripDataChecksum="D7fspqEMPZ4Ft/H74wFLXtP0IV2R0igbMdtFHItbJao="/>
    </ext>
  </extLst>
</workbook>
</file>

<file path=xl/sharedStrings.xml><?xml version="1.0" encoding="utf-8"?>
<sst xmlns="http://schemas.openxmlformats.org/spreadsheetml/2006/main" count="260" uniqueCount="25">
  <si>
    <t>Dilucion</t>
  </si>
  <si>
    <t>Concepto</t>
  </si>
  <si>
    <t>Valor</t>
  </si>
  <si>
    <t>Dilucion polvo en LB</t>
  </si>
  <si>
    <t>Total</t>
  </si>
  <si>
    <t>Volumen inoculado (mL)</t>
  </si>
  <si>
    <t>Ensayo 1</t>
  </si>
  <si>
    <t>Ensayo 2</t>
  </si>
  <si>
    <t>Ensayo 3</t>
  </si>
  <si>
    <t>Ensayo 4</t>
  </si>
  <si>
    <t>98°C</t>
  </si>
  <si>
    <t>Control</t>
  </si>
  <si>
    <t>UFC/g A</t>
  </si>
  <si>
    <t>UFC/g B</t>
  </si>
  <si>
    <t>UFC/g C</t>
  </si>
  <si>
    <t>UFC /promedio</t>
  </si>
  <si>
    <t>Desviación estándar</t>
  </si>
  <si>
    <t xml:space="preserve">Logaritmo </t>
  </si>
  <si>
    <t>Tratamiento</t>
  </si>
  <si>
    <t>Desvest Tratamiento</t>
  </si>
  <si>
    <t>Desvest Control</t>
  </si>
  <si>
    <t>B. amyloliquefaciens</t>
  </si>
  <si>
    <t>B. subtilis</t>
  </si>
  <si>
    <t>B. licheniformis</t>
  </si>
  <si>
    <t>UORA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</si>
</sst>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ptos Narrow"/>
      <scheme val="minor"/>
    </font>
    <font>
      <b/>
      <sz val="10.0"/>
      <color theme="1"/>
      <name val="Aptos Narrow"/>
    </font>
    <font>
      <sz val="10.0"/>
      <color theme="1"/>
      <name val="Aptos Narrow"/>
    </font>
    <font/>
    <font>
      <b/>
      <sz val="10.0"/>
      <color rgb="FF000000"/>
      <name val="Calibri"/>
    </font>
    <font>
      <sz val="11.0"/>
      <color rgb="FF000000"/>
      <name val="Calibri"/>
    </font>
    <font>
      <sz val="10.0"/>
      <color rgb="FF000000"/>
      <name val="Calibri"/>
    </font>
    <font>
      <b/>
      <sz val="11.0"/>
      <color rgb="FF000000"/>
      <name val="Calibri"/>
    </font>
    <font>
      <sz val="10.0"/>
      <color rgb="FF000000"/>
      <name val="Aptos Narrow"/>
    </font>
    <font>
      <b/>
      <sz val="10.0"/>
      <color rgb="FF000000"/>
      <name val="Aptos Narrow"/>
    </font>
    <font>
      <b/>
      <i/>
      <sz val="10.0"/>
      <color rgb="FF000000"/>
      <name val="Aptos Narrow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right style="hair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hair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20" xfId="0" applyAlignment="1" applyBorder="1" applyFont="1" applyNumberFormat="1">
      <alignment horizontal="center"/>
    </xf>
    <xf borderId="1" fillId="0" fontId="2" numFmtId="0" xfId="0" applyAlignment="1" applyBorder="1" applyFont="1">
      <alignment shrinkToFit="0" wrapText="1"/>
    </xf>
    <xf borderId="1" fillId="0" fontId="2" numFmtId="0" xfId="0" applyBorder="1" applyFont="1"/>
    <xf borderId="2" fillId="0" fontId="1" numFmtId="0" xfId="0" applyAlignment="1" applyBorder="1" applyFont="1">
      <alignment horizontal="center"/>
    </xf>
    <xf borderId="3" fillId="0" fontId="3" numFmtId="0" xfId="0" applyBorder="1" applyFont="1"/>
    <xf borderId="1" fillId="0" fontId="1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/>
    </xf>
    <xf borderId="4" fillId="0" fontId="5" numFmtId="0" xfId="0" applyAlignment="1" applyBorder="1" applyFont="1">
      <alignment horizontal="center"/>
    </xf>
    <xf borderId="5" fillId="0" fontId="6" numFmtId="11" xfId="0" applyAlignment="1" applyBorder="1" applyFont="1" applyNumberFormat="1">
      <alignment horizontal="center"/>
    </xf>
    <xf borderId="6" fillId="0" fontId="7" numFmtId="0" xfId="0" applyAlignment="1" applyBorder="1" applyFont="1">
      <alignment horizontal="center"/>
    </xf>
    <xf borderId="7" fillId="0" fontId="4" numFmtId="11" xfId="0" applyAlignment="1" applyBorder="1" applyFont="1" applyNumberFormat="1">
      <alignment horizontal="center"/>
    </xf>
    <xf borderId="6" fillId="0" fontId="7" numFmtId="0" xfId="0" applyBorder="1" applyFont="1"/>
    <xf borderId="0" fillId="0" fontId="4" numFmtId="0" xfId="0" applyAlignment="1" applyFont="1">
      <alignment horizontal="center"/>
    </xf>
    <xf borderId="1" fillId="0" fontId="7" numFmtId="0" xfId="0" applyAlignment="1" applyBorder="1" applyFont="1">
      <alignment horizontal="center"/>
    </xf>
    <xf borderId="6" fillId="0" fontId="4" numFmtId="11" xfId="0" applyAlignment="1" applyBorder="1" applyFont="1" applyNumberFormat="1">
      <alignment horizontal="center"/>
    </xf>
    <xf borderId="6" fillId="0" fontId="4" numFmtId="2" xfId="0" applyAlignment="1" applyBorder="1" applyFont="1" applyNumberFormat="1">
      <alignment horizontal="center"/>
    </xf>
    <xf borderId="0" fillId="0" fontId="8" numFmtId="0" xfId="0" applyAlignment="1" applyFont="1">
      <alignment horizontal="center"/>
    </xf>
    <xf borderId="0" fillId="0" fontId="9" numFmtId="0" xfId="0" applyAlignment="1" applyFont="1">
      <alignment horizontal="center"/>
    </xf>
    <xf borderId="0" fillId="0" fontId="10" numFmtId="0" xfId="0" applyAlignment="1" applyFont="1">
      <alignment horizontal="center"/>
    </xf>
    <xf borderId="0" fillId="0" fontId="11" numFmtId="0" xfId="0" applyFont="1"/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externalLink" Target="externalLinks/externalLink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56211766372614"/>
          <c:y val="0.23147523003105833"/>
          <c:w val="0.742407417447121"/>
          <c:h val="0.5594423284473775"/>
        </c:manualLayout>
      </c:layout>
      <c:barChart>
        <c:barDir val="col"/>
        <c:ser>
          <c:idx val="0"/>
          <c:order val="0"/>
          <c:tx>
            <c:v>B.licheniformis</c:v>
          </c:tx>
          <c:spPr>
            <a:solidFill>
              <a:srgbClr val="29ADFF"/>
            </a:solidFill>
            <a:ln cmpd="sng">
              <a:solidFill>
                <a:srgbClr val="000000"/>
              </a:solidFill>
            </a:ln>
          </c:spPr>
          <c:val>
            <c:numRef>
              <c:f>B.licheniformis!$B$22</c:f>
              <c:numCache/>
            </c:numRef>
          </c:val>
        </c:ser>
        <c:ser>
          <c:idx val="1"/>
          <c:order val="1"/>
          <c:tx>
            <c:v>Control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B.licheniformis!$C$22</c:f>
              <c:numCache/>
            </c:numRef>
          </c:val>
        </c:ser>
        <c:ser>
          <c:idx val="2"/>
          <c:order val="2"/>
          <c:tx>
            <c:v>B.subtilis</c:v>
          </c:tx>
          <c:spPr>
            <a:solidFill>
              <a:srgbClr val="FFCD2F"/>
            </a:solidFill>
            <a:ln cmpd="sng">
              <a:solidFill>
                <a:srgbClr val="000000"/>
              </a:solidFill>
            </a:ln>
          </c:spPr>
          <c:val>
            <c:numRef>
              <c:f>B.subtilis!$B$22</c:f>
              <c:numCache/>
            </c:numRef>
          </c:val>
        </c:ser>
        <c:ser>
          <c:idx val="3"/>
          <c:order val="3"/>
          <c:tx>
            <c:v>Control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val>
            <c:numRef>
              <c:f>B.subtilis!$C$22</c:f>
              <c:numCache/>
            </c:numRef>
          </c:val>
        </c:ser>
        <c:ser>
          <c:idx val="4"/>
          <c:order val="4"/>
          <c:tx>
            <c:v>B. amyloliquefaciens</c:v>
          </c:tx>
          <c:spPr>
            <a:solidFill>
              <a:srgbClr val="35A568"/>
            </a:solidFill>
            <a:ln cmpd="sng">
              <a:solidFill>
                <a:srgbClr val="000000"/>
              </a:solidFill>
            </a:ln>
          </c:spPr>
          <c:val>
            <c:numRef>
              <c:f>B.amyloliquefaciens!$B$21</c:f>
              <c:numCache/>
            </c:numRef>
          </c:val>
        </c:ser>
        <c:ser>
          <c:idx val="5"/>
          <c:order val="5"/>
          <c:tx>
            <c:v>Control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val>
            <c:numRef>
              <c:f>B.amyloliquefaciens!$C$21</c:f>
              <c:numCache/>
            </c:numRef>
          </c:val>
        </c:ser>
        <c:ser>
          <c:idx val="6"/>
          <c:order val="6"/>
          <c:tx>
            <c:v>UORA</c:v>
          </c:tx>
          <c:spPr>
            <a:solidFill>
              <a:srgbClr val="91DBB2"/>
            </a:solidFill>
            <a:ln cmpd="sng">
              <a:solidFill>
                <a:srgbClr val="000000"/>
              </a:solidFill>
            </a:ln>
          </c:spPr>
          <c:val>
            <c:numRef>
              <c:f>UORA!$B$22</c:f>
              <c:numCache/>
            </c:numRef>
          </c:val>
        </c:ser>
        <c:ser>
          <c:idx val="7"/>
          <c:order val="7"/>
          <c:tx>
            <c:v>Control</c:v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val>
            <c:numRef>
              <c:f>UORA!$C$22</c:f>
              <c:numCache/>
            </c:numRef>
          </c:val>
        </c:ser>
        <c:axId val="125291112"/>
        <c:axId val="405795733"/>
      </c:barChart>
      <c:catAx>
        <c:axId val="1252911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405795733"/>
      </c:catAx>
      <c:valAx>
        <c:axId val="405795733"/>
        <c:scaling>
          <c:orientation val="minMax"/>
          <c:max val="2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log₁₀ (UFG/g)</a:t>
                </a:r>
              </a:p>
            </c:rich>
          </c:tx>
          <c:layout>
            <c:manualLayout>
              <c:xMode val="edge"/>
              <c:yMode val="edge"/>
              <c:x val="0.04814850059124084"/>
              <c:y val="0.3316954597560154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125291112"/>
      </c:valAx>
    </c:plotArea>
    <c:legend>
      <c:legendPos val="r"/>
      <c:layout>
        <c:manualLayout>
          <c:xMode val="edge"/>
          <c:yMode val="edge"/>
          <c:x val="0.8134583468807871"/>
          <c:y val="0.02323215646431293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409575</xdr:colOff>
      <xdr:row>4</xdr:row>
      <xdr:rowOff>76200</xdr:rowOff>
    </xdr:from>
    <xdr:ext cx="7105650" cy="3867150"/>
    <xdr:graphicFrame>
      <xdr:nvGraphicFramePr>
        <xdr:cNvPr id="148446394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Prueba_pH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Verificacion pH"/>
      <sheetName val="Cuantificacion Amylo"/>
      <sheetName val="Cuantificacion Subtilis"/>
      <sheetName val="Cuantificacion Licheni"/>
      <sheetName val="Cuantificacion UORA"/>
      <sheetName val="Total"/>
      <sheetName val="Hoja1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43"/>
    <col customWidth="1" min="2" max="4" width="10.71"/>
    <col customWidth="1" min="5" max="5" width="19.43"/>
    <col customWidth="1" min="6" max="8" width="10.71"/>
    <col customWidth="1" min="9" max="9" width="19.43"/>
    <col customWidth="1" min="10" max="12" width="10.71"/>
    <col customWidth="1" min="13" max="13" width="19.43"/>
    <col customWidth="1" min="14" max="26" width="10.71"/>
  </cols>
  <sheetData>
    <row r="1" ht="12.75" customHeight="1">
      <c r="A1" s="1" t="s">
        <v>0</v>
      </c>
      <c r="B1" s="1" t="s">
        <v>1</v>
      </c>
      <c r="C1" s="1" t="s">
        <v>2</v>
      </c>
    </row>
    <row r="2" ht="12.75" customHeight="1">
      <c r="A2" s="2">
        <v>0.04861111111111111</v>
      </c>
      <c r="B2" s="3" t="s">
        <v>3</v>
      </c>
      <c r="C2" s="4">
        <v>10.0</v>
      </c>
    </row>
    <row r="3" ht="12.75" customHeight="1">
      <c r="A3" s="5" t="s">
        <v>4</v>
      </c>
      <c r="B3" s="6"/>
      <c r="C3" s="4">
        <f>C2</f>
        <v>10</v>
      </c>
    </row>
    <row r="4" ht="12.75" customHeight="1">
      <c r="B4" s="7" t="s">
        <v>5</v>
      </c>
      <c r="C4" s="4">
        <v>0.01</v>
      </c>
    </row>
    <row r="5" ht="12.75" customHeight="1"/>
    <row r="6" ht="12.75" customHeight="1">
      <c r="B6" s="8" t="s">
        <v>6</v>
      </c>
      <c r="C6" s="8" t="s">
        <v>6</v>
      </c>
      <c r="F6" s="8" t="s">
        <v>7</v>
      </c>
      <c r="G6" s="8" t="s">
        <v>7</v>
      </c>
      <c r="J6" s="8" t="s">
        <v>8</v>
      </c>
      <c r="K6" s="8" t="s">
        <v>8</v>
      </c>
      <c r="N6" s="8" t="s">
        <v>9</v>
      </c>
      <c r="O6" s="8" t="s">
        <v>9</v>
      </c>
    </row>
    <row r="7" ht="12.75" customHeight="1">
      <c r="A7" s="9"/>
      <c r="B7" s="9" t="s">
        <v>10</v>
      </c>
      <c r="C7" s="9" t="s">
        <v>11</v>
      </c>
      <c r="E7" s="9"/>
      <c r="F7" s="9" t="s">
        <v>10</v>
      </c>
      <c r="G7" s="9" t="s">
        <v>11</v>
      </c>
      <c r="I7" s="9"/>
      <c r="J7" s="9" t="s">
        <v>10</v>
      </c>
      <c r="K7" s="9" t="s">
        <v>11</v>
      </c>
      <c r="M7" s="9"/>
      <c r="N7" s="9" t="s">
        <v>10</v>
      </c>
      <c r="O7" s="9" t="s">
        <v>11</v>
      </c>
    </row>
    <row r="8" ht="12.75" customHeight="1">
      <c r="A8" s="10" t="s">
        <v>12</v>
      </c>
      <c r="B8" s="11">
        <f>(4*10^6*$C$3)/$C$4</f>
        <v>4000000000</v>
      </c>
      <c r="C8" s="11">
        <f t="shared" ref="C8:C10" si="1">(6*10^6*$C$3)/$C$4</f>
        <v>6000000000</v>
      </c>
      <c r="E8" s="10" t="s">
        <v>12</v>
      </c>
      <c r="F8" s="11">
        <f>(7*10^6*$C$3)/$C$4</f>
        <v>7000000000</v>
      </c>
      <c r="G8" s="11">
        <f>(3*10^6*$C$3)/$C$4</f>
        <v>3000000000</v>
      </c>
      <c r="I8" s="10" t="s">
        <v>12</v>
      </c>
      <c r="J8" s="11">
        <f>(2*10^6*$C$3)/$C$4</f>
        <v>2000000000</v>
      </c>
      <c r="K8" s="11">
        <f t="shared" ref="K8:K10" si="2">(1*10^6*$C$3)/$C$4</f>
        <v>1000000000</v>
      </c>
      <c r="M8" s="10" t="s">
        <v>12</v>
      </c>
      <c r="N8" s="11">
        <f t="shared" ref="N8:N9" si="3">(9*10^5*$C$3)/$C$4</f>
        <v>900000000</v>
      </c>
      <c r="O8" s="11">
        <f t="shared" ref="O8:O10" si="4">(8*10^5*$C$3)/$C$4</f>
        <v>800000000</v>
      </c>
    </row>
    <row r="9" ht="12.75" customHeight="1">
      <c r="A9" s="10" t="s">
        <v>13</v>
      </c>
      <c r="B9" s="11">
        <f>(7*10^6*$C$3)/$C$4</f>
        <v>7000000000</v>
      </c>
      <c r="C9" s="11">
        <f t="shared" si="1"/>
        <v>6000000000</v>
      </c>
      <c r="E9" s="10" t="s">
        <v>13</v>
      </c>
      <c r="F9" s="11">
        <f>(14*10^5*$C$3)/$C$4</f>
        <v>1400000000</v>
      </c>
      <c r="G9" s="11">
        <f t="shared" ref="G9:G10" si="5">(1*10^6*$C$3)/$C$4</f>
        <v>1000000000</v>
      </c>
      <c r="I9" s="10" t="s">
        <v>13</v>
      </c>
      <c r="J9" s="11">
        <f>(3*10^6*$C$3)/$C$4</f>
        <v>3000000000</v>
      </c>
      <c r="K9" s="11">
        <f t="shared" si="2"/>
        <v>1000000000</v>
      </c>
      <c r="M9" s="10" t="s">
        <v>13</v>
      </c>
      <c r="N9" s="11">
        <f t="shared" si="3"/>
        <v>900000000</v>
      </c>
      <c r="O9" s="11">
        <f t="shared" si="4"/>
        <v>800000000</v>
      </c>
    </row>
    <row r="10" ht="12.75" customHeight="1">
      <c r="A10" s="10" t="s">
        <v>14</v>
      </c>
      <c r="B10" s="11">
        <f>(5*10^6*$C$3)/$C$4</f>
        <v>5000000000</v>
      </c>
      <c r="C10" s="11">
        <f t="shared" si="1"/>
        <v>6000000000</v>
      </c>
      <c r="E10" s="10" t="s">
        <v>14</v>
      </c>
      <c r="F10" s="11">
        <f>(4*10^6*$C$3)/$C$4</f>
        <v>4000000000</v>
      </c>
      <c r="G10" s="11">
        <f t="shared" si="5"/>
        <v>1000000000</v>
      </c>
      <c r="I10" s="10" t="s">
        <v>14</v>
      </c>
      <c r="J10" s="11">
        <f>(2*10^6*$C$3)/$C$4</f>
        <v>2000000000</v>
      </c>
      <c r="K10" s="11">
        <f t="shared" si="2"/>
        <v>1000000000</v>
      </c>
      <c r="M10" s="10" t="s">
        <v>14</v>
      </c>
      <c r="N10" s="11">
        <f>(7*10^5*$C$3)/$C$4</f>
        <v>700000000</v>
      </c>
      <c r="O10" s="11">
        <f t="shared" si="4"/>
        <v>800000000</v>
      </c>
    </row>
    <row r="11" ht="12.75" customHeight="1">
      <c r="A11" s="12" t="s">
        <v>15</v>
      </c>
      <c r="B11" s="13">
        <f t="shared" ref="B11:C11" si="6">AVERAGE(B8:B10)</f>
        <v>5333333333</v>
      </c>
      <c r="C11" s="13">
        <f t="shared" si="6"/>
        <v>6000000000</v>
      </c>
      <c r="E11" s="12" t="s">
        <v>15</v>
      </c>
      <c r="F11" s="13">
        <f t="shared" ref="F11:G11" si="7">AVERAGE(F8:F10)</f>
        <v>4133333333</v>
      </c>
      <c r="G11" s="13">
        <f t="shared" si="7"/>
        <v>1666666667</v>
      </c>
      <c r="I11" s="12" t="s">
        <v>15</v>
      </c>
      <c r="J11" s="13">
        <f t="shared" ref="J11:K11" si="8">AVERAGE(J8:J10)</f>
        <v>2333333333</v>
      </c>
      <c r="K11" s="13">
        <f t="shared" si="8"/>
        <v>1000000000</v>
      </c>
      <c r="M11" s="12" t="s">
        <v>15</v>
      </c>
      <c r="N11" s="13">
        <f t="shared" ref="N11:O11" si="9">AVERAGE(N8:N10)</f>
        <v>833333333.3</v>
      </c>
      <c r="O11" s="13">
        <f t="shared" si="9"/>
        <v>800000000</v>
      </c>
    </row>
    <row r="12" ht="12.75" customHeight="1">
      <c r="A12" s="14" t="s">
        <v>16</v>
      </c>
      <c r="B12" s="13">
        <f t="shared" ref="B12:C12" si="10">STDEV(B8:B10)</f>
        <v>1527525232</v>
      </c>
      <c r="C12" s="13">
        <f t="shared" si="10"/>
        <v>0</v>
      </c>
      <c r="E12" s="14" t="s">
        <v>16</v>
      </c>
      <c r="F12" s="13">
        <f t="shared" ref="F12:G12" si="11">STDEV(F8:F10)</f>
        <v>2802379941</v>
      </c>
      <c r="G12" s="13">
        <f t="shared" si="11"/>
        <v>1154700538</v>
      </c>
      <c r="I12" s="14" t="s">
        <v>16</v>
      </c>
      <c r="J12" s="13">
        <f t="shared" ref="J12:K12" si="12">STDEV(J8:J10)</f>
        <v>577350269.2</v>
      </c>
      <c r="K12" s="13">
        <f t="shared" si="12"/>
        <v>0</v>
      </c>
      <c r="M12" s="14" t="s">
        <v>16</v>
      </c>
      <c r="N12" s="13">
        <f t="shared" ref="N12:O12" si="13">STDEV(N8:N10)</f>
        <v>115470053.8</v>
      </c>
      <c r="O12" s="13">
        <f t="shared" si="13"/>
        <v>0</v>
      </c>
    </row>
    <row r="13" ht="12.75" customHeight="1"/>
    <row r="14" ht="12.75" customHeight="1"/>
    <row r="15" ht="12.75" customHeight="1">
      <c r="A15" s="15"/>
      <c r="B15" s="9" t="s">
        <v>17</v>
      </c>
      <c r="C15" s="9" t="s">
        <v>17</v>
      </c>
      <c r="E15" s="15"/>
      <c r="F15" s="9" t="s">
        <v>17</v>
      </c>
      <c r="G15" s="9" t="s">
        <v>17</v>
      </c>
      <c r="I15" s="15"/>
      <c r="J15" s="9" t="s">
        <v>17</v>
      </c>
      <c r="K15" s="9" t="s">
        <v>17</v>
      </c>
      <c r="M15" s="15"/>
      <c r="N15" s="9" t="s">
        <v>17</v>
      </c>
      <c r="O15" s="9" t="s">
        <v>17</v>
      </c>
    </row>
    <row r="16" ht="12.75" customHeight="1">
      <c r="A16" s="16" t="s">
        <v>15</v>
      </c>
      <c r="B16" s="17">
        <f t="shared" ref="B16:C16" si="14">LOG(B11)</f>
        <v>9.726998728</v>
      </c>
      <c r="C16" s="17">
        <f t="shared" si="14"/>
        <v>9.77815125</v>
      </c>
      <c r="E16" s="16" t="s">
        <v>15</v>
      </c>
      <c r="F16" s="17">
        <f t="shared" ref="F16:G16" si="15">LOG(F11)</f>
        <v>9.61630043</v>
      </c>
      <c r="G16" s="17">
        <f t="shared" si="15"/>
        <v>9.22184875</v>
      </c>
      <c r="I16" s="16" t="s">
        <v>15</v>
      </c>
      <c r="J16" s="17">
        <f t="shared" ref="J16:K16" si="16">LOG(J11)</f>
        <v>9.367976785</v>
      </c>
      <c r="K16" s="17">
        <f t="shared" si="16"/>
        <v>9</v>
      </c>
      <c r="M16" s="16" t="s">
        <v>15</v>
      </c>
      <c r="N16" s="17">
        <f>LOG(N12)</f>
        <v>8.062469368</v>
      </c>
      <c r="O16" s="17">
        <f>LOG(O11)</f>
        <v>8.903089987</v>
      </c>
    </row>
    <row r="17" ht="12.75" customHeight="1">
      <c r="A17" s="14" t="s">
        <v>16</v>
      </c>
      <c r="B17" s="17">
        <f>LOG(B12)</f>
        <v>9.183988393</v>
      </c>
      <c r="C17" s="17">
        <v>0.0</v>
      </c>
      <c r="E17" s="14" t="s">
        <v>16</v>
      </c>
      <c r="F17" s="17">
        <f t="shared" ref="F17:G17" si="17">LOG(F12)</f>
        <v>9.447527016</v>
      </c>
      <c r="G17" s="17">
        <f t="shared" si="17"/>
        <v>9.062469368</v>
      </c>
      <c r="I17" s="14" t="s">
        <v>16</v>
      </c>
      <c r="J17" s="17">
        <f>LOG(J12)</f>
        <v>8.761439373</v>
      </c>
      <c r="K17" s="17">
        <v>0.0</v>
      </c>
      <c r="M17" s="14" t="s">
        <v>16</v>
      </c>
      <c r="N17" s="17">
        <f>LOG(N12)</f>
        <v>8.062469368</v>
      </c>
      <c r="O17" s="17">
        <v>0.0</v>
      </c>
    </row>
    <row r="18" ht="12.75" customHeight="1"/>
    <row r="19" ht="12.75" customHeight="1"/>
    <row r="20" ht="12.75" customHeight="1"/>
    <row r="21" ht="12.75" customHeight="1">
      <c r="A21" s="15" t="s">
        <v>4</v>
      </c>
      <c r="B21" s="9" t="s">
        <v>10</v>
      </c>
      <c r="C21" s="9" t="s">
        <v>11</v>
      </c>
    </row>
    <row r="22" ht="12.75" customHeight="1">
      <c r="A22" s="16" t="s">
        <v>15</v>
      </c>
      <c r="B22" s="18">
        <f t="shared" ref="B22:C22" si="18">AVERAGE(B16,F16,J16,N16)</f>
        <v>9.193436328</v>
      </c>
      <c r="C22" s="18">
        <f t="shared" si="18"/>
        <v>9.225772497</v>
      </c>
    </row>
    <row r="23" ht="12.75" customHeight="1">
      <c r="A23" s="14" t="s">
        <v>16</v>
      </c>
      <c r="B23" s="18">
        <f t="shared" ref="B23:C23" si="19">_xlfn.STDEV.P(B16,F16,J16,N16)</f>
        <v>0.6657802789</v>
      </c>
      <c r="C23" s="18">
        <f t="shared" si="19"/>
        <v>0.3392030755</v>
      </c>
    </row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3:B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43"/>
    <col customWidth="1" min="2" max="4" width="10.71"/>
    <col customWidth="1" min="5" max="5" width="19.43"/>
    <col customWidth="1" min="6" max="8" width="10.71"/>
    <col customWidth="1" min="9" max="9" width="19.43"/>
    <col customWidth="1" min="10" max="12" width="10.71"/>
    <col customWidth="1" min="13" max="13" width="19.43"/>
    <col customWidth="1" min="14" max="26" width="10.71"/>
  </cols>
  <sheetData>
    <row r="1" ht="12.75" customHeight="1">
      <c r="A1" s="1" t="s">
        <v>0</v>
      </c>
      <c r="B1" s="1" t="s">
        <v>1</v>
      </c>
      <c r="C1" s="1" t="s">
        <v>2</v>
      </c>
    </row>
    <row r="2" ht="12.75" customHeight="1">
      <c r="A2" s="2">
        <v>0.04861111111111111</v>
      </c>
      <c r="B2" s="3" t="s">
        <v>3</v>
      </c>
      <c r="C2" s="4">
        <v>10.0</v>
      </c>
    </row>
    <row r="3" ht="12.75" customHeight="1">
      <c r="A3" s="5" t="s">
        <v>4</v>
      </c>
      <c r="B3" s="6"/>
      <c r="C3" s="4">
        <f>C2</f>
        <v>10</v>
      </c>
    </row>
    <row r="4" ht="12.75" customHeight="1">
      <c r="B4" s="7" t="s">
        <v>5</v>
      </c>
      <c r="C4" s="4">
        <v>0.01</v>
      </c>
    </row>
    <row r="5" ht="12.75" customHeight="1"/>
    <row r="6" ht="12.75" customHeight="1">
      <c r="B6" s="8" t="s">
        <v>6</v>
      </c>
      <c r="C6" s="8" t="s">
        <v>6</v>
      </c>
      <c r="F6" s="8" t="s">
        <v>7</v>
      </c>
      <c r="G6" s="8" t="s">
        <v>7</v>
      </c>
      <c r="J6" s="8" t="s">
        <v>8</v>
      </c>
      <c r="K6" s="8" t="s">
        <v>8</v>
      </c>
      <c r="N6" s="8" t="s">
        <v>9</v>
      </c>
      <c r="O6" s="8" t="s">
        <v>9</v>
      </c>
    </row>
    <row r="7" ht="12.75" customHeight="1">
      <c r="A7" s="9"/>
      <c r="B7" s="9" t="s">
        <v>10</v>
      </c>
      <c r="C7" s="9" t="s">
        <v>11</v>
      </c>
      <c r="E7" s="9"/>
      <c r="F7" s="9" t="s">
        <v>10</v>
      </c>
      <c r="G7" s="9" t="s">
        <v>11</v>
      </c>
      <c r="I7" s="9"/>
      <c r="J7" s="9" t="s">
        <v>10</v>
      </c>
      <c r="K7" s="9" t="s">
        <v>11</v>
      </c>
      <c r="M7" s="9"/>
      <c r="N7" s="9" t="s">
        <v>10</v>
      </c>
      <c r="O7" s="9" t="s">
        <v>11</v>
      </c>
    </row>
    <row r="8" ht="12.75" customHeight="1">
      <c r="A8" s="10" t="s">
        <v>12</v>
      </c>
      <c r="B8" s="11">
        <f t="shared" ref="B8:C8" si="1">(1*10^6*$C$3)/$C$4</f>
        <v>1000000000</v>
      </c>
      <c r="C8" s="11">
        <f t="shared" si="1"/>
        <v>1000000000</v>
      </c>
      <c r="E8" s="10" t="s">
        <v>12</v>
      </c>
      <c r="F8" s="11">
        <f>(12*10^5*$C$3)/$C$4</f>
        <v>1200000000</v>
      </c>
      <c r="G8" s="11">
        <f t="shared" ref="G8:G9" si="3">(3*10^5*$C$3)/$C$4</f>
        <v>300000000</v>
      </c>
      <c r="I8" s="10" t="s">
        <v>12</v>
      </c>
      <c r="J8" s="11">
        <f>(5*10^5*$C$3)/$C$4</f>
        <v>500000000</v>
      </c>
      <c r="K8" s="11">
        <f>(10*10^5*$C$3)/$C$4</f>
        <v>1000000000</v>
      </c>
      <c r="M8" s="10" t="s">
        <v>12</v>
      </c>
      <c r="N8" s="11">
        <f>(2*10^5*$C$3)/$C$4</f>
        <v>200000000</v>
      </c>
      <c r="O8" s="11">
        <f>(7*10^5*$C$3)/$C$4</f>
        <v>700000000</v>
      </c>
    </row>
    <row r="9" ht="12.75" customHeight="1">
      <c r="A9" s="10" t="s">
        <v>13</v>
      </c>
      <c r="B9" s="11">
        <f t="shared" ref="B9:C9" si="2">(1*10^6*$C$3)/$C$4</f>
        <v>1000000000</v>
      </c>
      <c r="C9" s="11">
        <f t="shared" si="2"/>
        <v>1000000000</v>
      </c>
      <c r="E9" s="10" t="s">
        <v>13</v>
      </c>
      <c r="F9" s="11">
        <f>(1*10^6*$C$3)/$C$4</f>
        <v>1000000000</v>
      </c>
      <c r="G9" s="11">
        <f t="shared" si="3"/>
        <v>300000000</v>
      </c>
      <c r="I9" s="10" t="s">
        <v>13</v>
      </c>
      <c r="J9" s="11">
        <f>(2*10^5*$C$3)/$C$4</f>
        <v>200000000</v>
      </c>
      <c r="K9" s="11">
        <f>(8*10^5*$C$3)/$C$4</f>
        <v>800000000</v>
      </c>
      <c r="M9" s="10" t="s">
        <v>13</v>
      </c>
      <c r="N9" s="11">
        <f>(4*10^5*$C$3)/$C$4</f>
        <v>400000000</v>
      </c>
      <c r="O9" s="11">
        <f>(6*10^5*$C$3)/$C$4</f>
        <v>600000000</v>
      </c>
    </row>
    <row r="10" ht="12.75" customHeight="1">
      <c r="A10" s="10" t="s">
        <v>14</v>
      </c>
      <c r="B10" s="11">
        <f t="shared" ref="B10:C10" si="4">(1*10^6*$C$3)/$C$4</f>
        <v>1000000000</v>
      </c>
      <c r="C10" s="11">
        <f t="shared" si="4"/>
        <v>1000000000</v>
      </c>
      <c r="E10" s="10" t="s">
        <v>14</v>
      </c>
      <c r="F10" s="11">
        <f>(8*10^5*$C$3)/$C$4</f>
        <v>800000000</v>
      </c>
      <c r="G10" s="11">
        <f>(6*10^5*$C$3)/$C$4</f>
        <v>600000000</v>
      </c>
      <c r="I10" s="10" t="s">
        <v>14</v>
      </c>
      <c r="J10" s="11">
        <f>(4*10^5*$C$3)/$C$4</f>
        <v>400000000</v>
      </c>
      <c r="K10" s="11">
        <f>(5*10^5*$C$3)/$C$4</f>
        <v>500000000</v>
      </c>
      <c r="M10" s="10" t="s">
        <v>14</v>
      </c>
      <c r="N10" s="11">
        <f>(2*10^5*$C$3)/$C$4</f>
        <v>200000000</v>
      </c>
      <c r="O10" s="11">
        <f>(4*10^5*$C$3)/$C$4</f>
        <v>400000000</v>
      </c>
    </row>
    <row r="11" ht="12.75" customHeight="1">
      <c r="A11" s="12" t="s">
        <v>15</v>
      </c>
      <c r="B11" s="13">
        <f t="shared" ref="B11:C11" si="5">AVERAGE(B8:B10)</f>
        <v>1000000000</v>
      </c>
      <c r="C11" s="13">
        <f t="shared" si="5"/>
        <v>1000000000</v>
      </c>
      <c r="E11" s="12" t="s">
        <v>15</v>
      </c>
      <c r="F11" s="13">
        <f t="shared" ref="F11:G11" si="6">AVERAGE(F8:F10)</f>
        <v>1000000000</v>
      </c>
      <c r="G11" s="13">
        <f t="shared" si="6"/>
        <v>400000000</v>
      </c>
      <c r="I11" s="12" t="s">
        <v>15</v>
      </c>
      <c r="J11" s="13">
        <f t="shared" ref="J11:K11" si="7">AVERAGE(J8:J10)</f>
        <v>366666666.7</v>
      </c>
      <c r="K11" s="13">
        <f t="shared" si="7"/>
        <v>766666666.7</v>
      </c>
      <c r="M11" s="12" t="s">
        <v>15</v>
      </c>
      <c r="N11" s="13">
        <f t="shared" ref="N11:O11" si="8">AVERAGE(N8:N10)</f>
        <v>266666666.7</v>
      </c>
      <c r="O11" s="13">
        <f t="shared" si="8"/>
        <v>566666666.7</v>
      </c>
    </row>
    <row r="12" ht="12.75" customHeight="1">
      <c r="A12" s="14" t="s">
        <v>16</v>
      </c>
      <c r="B12" s="13">
        <f t="shared" ref="B12:C12" si="9">STDEV(B8:B10)</f>
        <v>0</v>
      </c>
      <c r="C12" s="13">
        <f t="shared" si="9"/>
        <v>0</v>
      </c>
      <c r="E12" s="14" t="s">
        <v>16</v>
      </c>
      <c r="F12" s="13">
        <f t="shared" ref="F12:G12" si="10">STDEV(F8:F10)</f>
        <v>200000000</v>
      </c>
      <c r="G12" s="13">
        <f t="shared" si="10"/>
        <v>173205080.8</v>
      </c>
      <c r="I12" s="14" t="s">
        <v>16</v>
      </c>
      <c r="J12" s="13">
        <f t="shared" ref="J12:K12" si="11">STDEV(J8:J10)</f>
        <v>152752523.2</v>
      </c>
      <c r="K12" s="13">
        <f t="shared" si="11"/>
        <v>251661147.8</v>
      </c>
      <c r="M12" s="14" t="s">
        <v>16</v>
      </c>
      <c r="N12" s="13">
        <f t="shared" ref="N12:O12" si="12">STDEV(N8:N10)</f>
        <v>115470053.8</v>
      </c>
      <c r="O12" s="13">
        <f t="shared" si="12"/>
        <v>152752523.2</v>
      </c>
    </row>
    <row r="13" ht="12.75" customHeight="1"/>
    <row r="14" ht="12.75" customHeight="1"/>
    <row r="15" ht="12.75" customHeight="1">
      <c r="A15" s="15"/>
      <c r="B15" s="9" t="s">
        <v>17</v>
      </c>
      <c r="C15" s="9" t="s">
        <v>17</v>
      </c>
      <c r="E15" s="15"/>
      <c r="F15" s="9" t="s">
        <v>17</v>
      </c>
      <c r="G15" s="9" t="s">
        <v>17</v>
      </c>
      <c r="I15" s="15"/>
      <c r="J15" s="9" t="s">
        <v>17</v>
      </c>
      <c r="K15" s="9" t="s">
        <v>17</v>
      </c>
      <c r="M15" s="15"/>
      <c r="N15" s="9" t="s">
        <v>17</v>
      </c>
      <c r="O15" s="9" t="s">
        <v>17</v>
      </c>
    </row>
    <row r="16" ht="12.75" customHeight="1">
      <c r="A16" s="16" t="s">
        <v>15</v>
      </c>
      <c r="B16" s="17">
        <f t="shared" ref="B16:C16" si="13">LOG(B11)</f>
        <v>9</v>
      </c>
      <c r="C16" s="17">
        <f t="shared" si="13"/>
        <v>9</v>
      </c>
      <c r="E16" s="16" t="s">
        <v>15</v>
      </c>
      <c r="F16" s="17">
        <f t="shared" ref="F16:G16" si="14">LOG(F11)</f>
        <v>9</v>
      </c>
      <c r="G16" s="17">
        <f t="shared" si="14"/>
        <v>8.602059991</v>
      </c>
      <c r="I16" s="16" t="s">
        <v>15</v>
      </c>
      <c r="J16" s="17">
        <f t="shared" ref="J16:K16" si="15">LOG(J11)</f>
        <v>8.56427143</v>
      </c>
      <c r="K16" s="17">
        <f t="shared" si="15"/>
        <v>8.884606581</v>
      </c>
      <c r="M16" s="16" t="s">
        <v>15</v>
      </c>
      <c r="N16" s="17">
        <f t="shared" ref="N16:O16" si="16">LOG(N11)</f>
        <v>8.425968732</v>
      </c>
      <c r="O16" s="17">
        <f t="shared" si="16"/>
        <v>8.753327667</v>
      </c>
    </row>
    <row r="17" ht="12.75" customHeight="1">
      <c r="A17" s="14" t="s">
        <v>16</v>
      </c>
      <c r="B17" s="17">
        <v>0.0</v>
      </c>
      <c r="C17" s="17">
        <v>0.0</v>
      </c>
      <c r="E17" s="14" t="s">
        <v>16</v>
      </c>
      <c r="F17" s="17">
        <f t="shared" ref="F17:G17" si="17">LOG(F12)</f>
        <v>8.301029996</v>
      </c>
      <c r="G17" s="17">
        <f t="shared" si="17"/>
        <v>8.238560627</v>
      </c>
      <c r="I17" s="14" t="s">
        <v>16</v>
      </c>
      <c r="J17" s="17">
        <f t="shared" ref="J17:K17" si="18">LOG(J12)</f>
        <v>8.183988393</v>
      </c>
      <c r="K17" s="17">
        <f t="shared" si="18"/>
        <v>8.400816173</v>
      </c>
      <c r="M17" s="14" t="s">
        <v>16</v>
      </c>
      <c r="N17" s="17">
        <f t="shared" ref="N17:O17" si="19">LOG(N12)</f>
        <v>8.062469368</v>
      </c>
      <c r="O17" s="17">
        <f t="shared" si="19"/>
        <v>8.183988393</v>
      </c>
    </row>
    <row r="18" ht="12.75" customHeight="1"/>
    <row r="19" ht="12.75" customHeight="1"/>
    <row r="20" ht="12.75" customHeight="1">
      <c r="A20" s="15" t="s">
        <v>4</v>
      </c>
      <c r="B20" s="9" t="s">
        <v>10</v>
      </c>
      <c r="C20" s="9" t="s">
        <v>11</v>
      </c>
    </row>
    <row r="21" ht="12.75" customHeight="1">
      <c r="A21" s="16" t="s">
        <v>15</v>
      </c>
      <c r="B21" s="18">
        <f t="shared" ref="B21:C21" si="20">AVERAGE(B16,F16,J16,N16)</f>
        <v>8.747560041</v>
      </c>
      <c r="C21" s="18">
        <f t="shared" si="20"/>
        <v>8.80999856</v>
      </c>
    </row>
    <row r="22" ht="12.75" customHeight="1">
      <c r="A22" s="14" t="s">
        <v>16</v>
      </c>
      <c r="B22" s="18">
        <f t="shared" ref="B22:C22" si="21">_xlfn.STDEV.P(B16,F16,J16,N16)</f>
        <v>0.2571320431</v>
      </c>
      <c r="C22" s="18">
        <f t="shared" si="21"/>
        <v>0.1484224903</v>
      </c>
    </row>
    <row r="23" ht="12.75" customHeight="1">
      <c r="M23" s="16"/>
    </row>
    <row r="24" ht="12.75" customHeight="1">
      <c r="M24" s="14"/>
    </row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3:B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43"/>
    <col customWidth="1" min="2" max="4" width="10.71"/>
    <col customWidth="1" min="5" max="5" width="19.43"/>
    <col customWidth="1" min="6" max="8" width="10.71"/>
    <col customWidth="1" min="9" max="9" width="19.43"/>
    <col customWidth="1" min="10" max="12" width="10.71"/>
    <col customWidth="1" min="13" max="13" width="19.43"/>
    <col customWidth="1" min="14" max="26" width="10.71"/>
  </cols>
  <sheetData>
    <row r="1" ht="12.75" customHeight="1">
      <c r="A1" s="1" t="s">
        <v>0</v>
      </c>
      <c r="B1" s="1" t="s">
        <v>1</v>
      </c>
      <c r="C1" s="1" t="s">
        <v>2</v>
      </c>
    </row>
    <row r="2" ht="12.75" customHeight="1">
      <c r="A2" s="2">
        <v>0.04861111111111111</v>
      </c>
      <c r="B2" s="3" t="s">
        <v>3</v>
      </c>
      <c r="C2" s="4">
        <v>10.0</v>
      </c>
    </row>
    <row r="3" ht="12.75" customHeight="1">
      <c r="A3" s="5" t="s">
        <v>4</v>
      </c>
      <c r="B3" s="6"/>
      <c r="C3" s="4">
        <f>C2</f>
        <v>10</v>
      </c>
    </row>
    <row r="4" ht="12.75" customHeight="1">
      <c r="B4" s="7" t="s">
        <v>5</v>
      </c>
      <c r="C4" s="4">
        <v>0.01</v>
      </c>
    </row>
    <row r="5" ht="12.75" customHeight="1"/>
    <row r="6" ht="12.75" customHeight="1">
      <c r="B6" s="8" t="s">
        <v>6</v>
      </c>
      <c r="C6" s="8" t="s">
        <v>6</v>
      </c>
      <c r="F6" s="8" t="s">
        <v>7</v>
      </c>
      <c r="G6" s="8" t="s">
        <v>7</v>
      </c>
      <c r="J6" s="8" t="s">
        <v>8</v>
      </c>
      <c r="K6" s="8" t="s">
        <v>8</v>
      </c>
      <c r="N6" s="8" t="s">
        <v>9</v>
      </c>
      <c r="O6" s="8" t="s">
        <v>9</v>
      </c>
    </row>
    <row r="7" ht="12.75" customHeight="1">
      <c r="A7" s="9"/>
      <c r="B7" s="9" t="s">
        <v>10</v>
      </c>
      <c r="C7" s="9" t="s">
        <v>11</v>
      </c>
      <c r="E7" s="9"/>
      <c r="F7" s="9" t="s">
        <v>10</v>
      </c>
      <c r="G7" s="9" t="s">
        <v>11</v>
      </c>
      <c r="I7" s="9"/>
      <c r="J7" s="9" t="s">
        <v>10</v>
      </c>
      <c r="K7" s="9" t="s">
        <v>11</v>
      </c>
      <c r="M7" s="9"/>
      <c r="N7" s="9" t="s">
        <v>10</v>
      </c>
      <c r="O7" s="9" t="s">
        <v>11</v>
      </c>
    </row>
    <row r="8" ht="12.75" customHeight="1">
      <c r="A8" s="10" t="s">
        <v>12</v>
      </c>
      <c r="B8" s="11">
        <f>(14*10^5*$C$3)/$C$4</f>
        <v>1400000000</v>
      </c>
      <c r="C8" s="11">
        <f>(1*10^6*$C$3)/$C$4</f>
        <v>1000000000</v>
      </c>
      <c r="E8" s="10" t="s">
        <v>12</v>
      </c>
      <c r="F8" s="11">
        <f>(3*10^5*$C$3)/$C$4</f>
        <v>300000000</v>
      </c>
      <c r="G8" s="11">
        <f t="shared" ref="G8:G9" si="3">(7*10^5*$C$3)/$C$4</f>
        <v>700000000</v>
      </c>
      <c r="I8" s="10" t="s">
        <v>12</v>
      </c>
      <c r="J8" s="11">
        <f t="shared" ref="J8:K8" si="1">(6*10^5*$C$3)/$C$4</f>
        <v>600000000</v>
      </c>
      <c r="K8" s="11">
        <f t="shared" si="1"/>
        <v>600000000</v>
      </c>
      <c r="M8" s="10" t="s">
        <v>12</v>
      </c>
      <c r="N8" s="11">
        <f>(3*10^5*$C$3)/$C$4</f>
        <v>300000000</v>
      </c>
      <c r="O8" s="11">
        <f>(9*10^5*$C$3)/$C$4</f>
        <v>900000000</v>
      </c>
    </row>
    <row r="9" ht="12.75" customHeight="1">
      <c r="A9" s="10" t="s">
        <v>13</v>
      </c>
      <c r="B9" s="11">
        <f t="shared" ref="B9:C9" si="2">(1*10^6*$C$3)/$C$4</f>
        <v>1000000000</v>
      </c>
      <c r="C9" s="11">
        <f t="shared" si="2"/>
        <v>1000000000</v>
      </c>
      <c r="E9" s="10" t="s">
        <v>13</v>
      </c>
      <c r="F9" s="11">
        <f>(4*10^5*$C$3)/$C$4</f>
        <v>400000000</v>
      </c>
      <c r="G9" s="11">
        <f t="shared" si="3"/>
        <v>700000000</v>
      </c>
      <c r="I9" s="10" t="s">
        <v>13</v>
      </c>
      <c r="J9" s="11">
        <f t="shared" ref="J9:J10" si="5">(3*10^5*$C$3)/$C$4</f>
        <v>300000000</v>
      </c>
      <c r="K9" s="11">
        <f>(12*10^5*$C$3)/$C$4</f>
        <v>1200000000</v>
      </c>
      <c r="M9" s="10" t="s">
        <v>13</v>
      </c>
      <c r="N9" s="11">
        <f>(6*10^5*$C$3)/$C$4</f>
        <v>600000000</v>
      </c>
      <c r="O9" s="11">
        <f>(3*10^5*$C$3)/$C$4</f>
        <v>300000000</v>
      </c>
    </row>
    <row r="10" ht="12.75" customHeight="1">
      <c r="A10" s="10" t="s">
        <v>14</v>
      </c>
      <c r="B10" s="11">
        <f t="shared" ref="B10:C10" si="4">(1*10^6*$C$3)/$C$4</f>
        <v>1000000000</v>
      </c>
      <c r="C10" s="11">
        <f t="shared" si="4"/>
        <v>1000000000</v>
      </c>
      <c r="E10" s="10" t="s">
        <v>14</v>
      </c>
      <c r="F10" s="11">
        <f>(11*10^5*$C$3)/$C$4</f>
        <v>1100000000</v>
      </c>
      <c r="G10" s="11">
        <f>(4*10^5*$C$3)/$C$4</f>
        <v>400000000</v>
      </c>
      <c r="I10" s="10" t="s">
        <v>14</v>
      </c>
      <c r="J10" s="11">
        <f t="shared" si="5"/>
        <v>300000000</v>
      </c>
      <c r="K10" s="11">
        <f>(8*10^5*$C$3)/$C$4</f>
        <v>800000000</v>
      </c>
      <c r="M10" s="10" t="s">
        <v>14</v>
      </c>
      <c r="N10" s="11">
        <f>(2*10^5*$C$3)/$C$4</f>
        <v>200000000</v>
      </c>
      <c r="O10" s="11">
        <f>(10*10^5*$C$3)/$C$4</f>
        <v>1000000000</v>
      </c>
    </row>
    <row r="11" ht="12.75" customHeight="1">
      <c r="A11" s="12" t="s">
        <v>15</v>
      </c>
      <c r="B11" s="13">
        <f t="shared" ref="B11:C11" si="6">AVERAGE(B8:B10)</f>
        <v>1133333333</v>
      </c>
      <c r="C11" s="13">
        <f t="shared" si="6"/>
        <v>1000000000</v>
      </c>
      <c r="E11" s="12" t="s">
        <v>15</v>
      </c>
      <c r="F11" s="13">
        <f t="shared" ref="F11:G11" si="7">AVERAGE(F8:F10)</f>
        <v>600000000</v>
      </c>
      <c r="G11" s="13">
        <f t="shared" si="7"/>
        <v>600000000</v>
      </c>
      <c r="I11" s="12" t="s">
        <v>15</v>
      </c>
      <c r="J11" s="13">
        <f t="shared" ref="J11:K11" si="8">AVERAGE(J8:J10)</f>
        <v>400000000</v>
      </c>
      <c r="K11" s="13">
        <f t="shared" si="8"/>
        <v>866666666.7</v>
      </c>
      <c r="M11" s="12" t="s">
        <v>15</v>
      </c>
      <c r="N11" s="13">
        <f t="shared" ref="N11:O11" si="9">AVERAGE(N8:N10)</f>
        <v>366666666.7</v>
      </c>
      <c r="O11" s="13">
        <f t="shared" si="9"/>
        <v>733333333.3</v>
      </c>
    </row>
    <row r="12" ht="12.75" customHeight="1">
      <c r="A12" s="14" t="s">
        <v>16</v>
      </c>
      <c r="B12" s="13">
        <f t="shared" ref="B12:C12" si="10">STDEV(B8:B10)</f>
        <v>230940107.7</v>
      </c>
      <c r="C12" s="13">
        <f t="shared" si="10"/>
        <v>0</v>
      </c>
      <c r="E12" s="14" t="s">
        <v>16</v>
      </c>
      <c r="F12" s="13">
        <f t="shared" ref="F12:G12" si="11">STDEV(F8:F10)</f>
        <v>435889894.4</v>
      </c>
      <c r="G12" s="13">
        <f t="shared" si="11"/>
        <v>173205080.8</v>
      </c>
      <c r="I12" s="14" t="s">
        <v>16</v>
      </c>
      <c r="J12" s="13">
        <f t="shared" ref="J12:K12" si="12">STDEV(J8:J10)</f>
        <v>173205080.8</v>
      </c>
      <c r="K12" s="13">
        <f t="shared" si="12"/>
        <v>305505046.3</v>
      </c>
      <c r="M12" s="14" t="s">
        <v>16</v>
      </c>
      <c r="N12" s="13">
        <f t="shared" ref="N12:O12" si="13">STDEV(N8:N10)</f>
        <v>208166599.9</v>
      </c>
      <c r="O12" s="13">
        <f t="shared" si="13"/>
        <v>378593889.7</v>
      </c>
    </row>
    <row r="13" ht="12.75" customHeight="1"/>
    <row r="14" ht="12.75" customHeight="1"/>
    <row r="15" ht="12.75" customHeight="1">
      <c r="A15" s="15"/>
      <c r="B15" s="9" t="s">
        <v>17</v>
      </c>
      <c r="C15" s="9" t="s">
        <v>17</v>
      </c>
      <c r="E15" s="15"/>
      <c r="F15" s="9" t="s">
        <v>17</v>
      </c>
      <c r="G15" s="9" t="s">
        <v>17</v>
      </c>
      <c r="I15" s="15"/>
      <c r="J15" s="9" t="s">
        <v>17</v>
      </c>
      <c r="K15" s="9" t="s">
        <v>17</v>
      </c>
      <c r="M15" s="15"/>
      <c r="N15" s="9" t="s">
        <v>17</v>
      </c>
      <c r="O15" s="9" t="s">
        <v>17</v>
      </c>
    </row>
    <row r="16" ht="12.75" customHeight="1">
      <c r="A16" s="16" t="s">
        <v>15</v>
      </c>
      <c r="B16" s="17">
        <f t="shared" ref="B16:C16" si="14">LOG(B11)</f>
        <v>9.054357662</v>
      </c>
      <c r="C16" s="17">
        <f t="shared" si="14"/>
        <v>9</v>
      </c>
      <c r="E16" s="16" t="s">
        <v>15</v>
      </c>
      <c r="F16" s="17">
        <f t="shared" ref="F16:G16" si="15">LOG(F11)</f>
        <v>8.77815125</v>
      </c>
      <c r="G16" s="17">
        <f t="shared" si="15"/>
        <v>8.77815125</v>
      </c>
      <c r="I16" s="16" t="s">
        <v>15</v>
      </c>
      <c r="J16" s="17">
        <f t="shared" ref="J16:K16" si="16">LOG(J11)</f>
        <v>8.602059991</v>
      </c>
      <c r="K16" s="17">
        <f t="shared" si="16"/>
        <v>8.937852093</v>
      </c>
      <c r="M16" s="16" t="s">
        <v>15</v>
      </c>
      <c r="N16" s="17">
        <f t="shared" ref="N16:O16" si="17">LOG(N11)</f>
        <v>8.56427143</v>
      </c>
      <c r="O16" s="17">
        <f t="shared" si="17"/>
        <v>8.865301426</v>
      </c>
    </row>
    <row r="17" ht="12.75" customHeight="1">
      <c r="A17" s="14" t="s">
        <v>16</v>
      </c>
      <c r="B17" s="17">
        <f>LOG(B12)</f>
        <v>8.363499364</v>
      </c>
      <c r="C17" s="17">
        <v>0.0</v>
      </c>
      <c r="E17" s="14" t="s">
        <v>16</v>
      </c>
      <c r="F17" s="17">
        <f t="shared" ref="F17:G17" si="18">LOG(F12)</f>
        <v>8.6393768</v>
      </c>
      <c r="G17" s="17">
        <f t="shared" si="18"/>
        <v>8.238560627</v>
      </c>
      <c r="I17" s="14" t="s">
        <v>16</v>
      </c>
      <c r="J17" s="17">
        <f t="shared" ref="J17:K17" si="19">LOG(J12)</f>
        <v>8.238560627</v>
      </c>
      <c r="K17" s="17">
        <f t="shared" si="19"/>
        <v>8.485018388</v>
      </c>
      <c r="M17" s="14" t="s">
        <v>16</v>
      </c>
      <c r="N17" s="17">
        <f t="shared" ref="N17:O17" si="20">LOG(N12)</f>
        <v>8.318411049</v>
      </c>
      <c r="O17" s="17">
        <f t="shared" si="20"/>
        <v>8.5781736</v>
      </c>
    </row>
    <row r="18" ht="12.75" customHeight="1"/>
    <row r="19" ht="12.75" customHeight="1"/>
    <row r="20" ht="12.75" customHeight="1"/>
    <row r="21" ht="12.75" customHeight="1">
      <c r="A21" s="15" t="s">
        <v>4</v>
      </c>
      <c r="B21" s="9" t="s">
        <v>10</v>
      </c>
      <c r="C21" s="9" t="s">
        <v>11</v>
      </c>
    </row>
    <row r="22" ht="12.75" customHeight="1">
      <c r="A22" s="16" t="s">
        <v>15</v>
      </c>
      <c r="B22" s="18">
        <f t="shared" ref="B22:C22" si="21">AVERAGE(B16,F16,J16,N16)</f>
        <v>8.749710084</v>
      </c>
      <c r="C22" s="18">
        <f t="shared" si="21"/>
        <v>8.895326192</v>
      </c>
    </row>
    <row r="23" ht="12.75" customHeight="1">
      <c r="A23" s="14" t="s">
        <v>16</v>
      </c>
      <c r="B23" s="18">
        <f t="shared" ref="B23:C23" si="22">_xlfn.STDEV.P(B16,F16,J16,N16)</f>
        <v>0.193524605</v>
      </c>
      <c r="C23" s="18">
        <f t="shared" si="22"/>
        <v>0.08275945848</v>
      </c>
    </row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3:B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43"/>
    <col customWidth="1" min="2" max="4" width="10.71"/>
    <col customWidth="1" min="5" max="5" width="19.43"/>
    <col customWidth="1" min="6" max="8" width="10.71"/>
    <col customWidth="1" min="9" max="9" width="19.43"/>
    <col customWidth="1" min="10" max="12" width="10.71"/>
    <col customWidth="1" min="13" max="13" width="19.43"/>
    <col customWidth="1" min="14" max="26" width="10.71"/>
  </cols>
  <sheetData>
    <row r="1" ht="12.75" customHeight="1">
      <c r="A1" s="1" t="s">
        <v>0</v>
      </c>
      <c r="B1" s="1" t="s">
        <v>1</v>
      </c>
      <c r="C1" s="1" t="s">
        <v>2</v>
      </c>
    </row>
    <row r="2" ht="12.75" customHeight="1">
      <c r="A2" s="2">
        <v>0.04861111111111111</v>
      </c>
      <c r="B2" s="3" t="s">
        <v>3</v>
      </c>
      <c r="C2" s="4">
        <v>10.0</v>
      </c>
    </row>
    <row r="3" ht="12.75" customHeight="1">
      <c r="A3" s="5" t="s">
        <v>4</v>
      </c>
      <c r="B3" s="6"/>
      <c r="C3" s="4">
        <f>C2</f>
        <v>10</v>
      </c>
    </row>
    <row r="4" ht="12.75" customHeight="1">
      <c r="B4" s="7" t="s">
        <v>5</v>
      </c>
      <c r="C4" s="4">
        <v>0.01</v>
      </c>
    </row>
    <row r="5" ht="12.75" customHeight="1"/>
    <row r="6" ht="12.75" customHeight="1">
      <c r="B6" s="8" t="s">
        <v>6</v>
      </c>
      <c r="C6" s="8" t="s">
        <v>6</v>
      </c>
      <c r="F6" s="8" t="s">
        <v>7</v>
      </c>
      <c r="G6" s="8" t="s">
        <v>7</v>
      </c>
      <c r="J6" s="8" t="s">
        <v>8</v>
      </c>
      <c r="K6" s="8" t="s">
        <v>8</v>
      </c>
      <c r="N6" s="8" t="s">
        <v>9</v>
      </c>
      <c r="O6" s="8" t="s">
        <v>9</v>
      </c>
    </row>
    <row r="7" ht="12.75" customHeight="1">
      <c r="A7" s="9"/>
      <c r="B7" s="9" t="s">
        <v>10</v>
      </c>
      <c r="C7" s="9" t="s">
        <v>11</v>
      </c>
      <c r="E7" s="9"/>
      <c r="F7" s="9" t="s">
        <v>10</v>
      </c>
      <c r="G7" s="9" t="s">
        <v>11</v>
      </c>
      <c r="I7" s="9"/>
      <c r="J7" s="9" t="s">
        <v>10</v>
      </c>
      <c r="K7" s="9" t="s">
        <v>11</v>
      </c>
      <c r="M7" s="9"/>
      <c r="N7" s="9" t="s">
        <v>10</v>
      </c>
      <c r="O7" s="9" t="s">
        <v>11</v>
      </c>
    </row>
    <row r="8" ht="12.75" customHeight="1">
      <c r="A8" s="10" t="s">
        <v>12</v>
      </c>
      <c r="B8" s="11">
        <f>(2*10^6*$C$3)/$C$4</f>
        <v>2000000000</v>
      </c>
      <c r="C8" s="11">
        <f t="shared" ref="C8:C10" si="1">(1*10^6*$C$3)/$C$4</f>
        <v>1000000000</v>
      </c>
      <c r="E8" s="10" t="s">
        <v>12</v>
      </c>
      <c r="F8" s="11">
        <f>(3*10^6*$C$3)/$C$4</f>
        <v>3000000000</v>
      </c>
      <c r="G8" s="11">
        <f>(4*10^5*$C$3)/$C$4</f>
        <v>400000000</v>
      </c>
      <c r="I8" s="10" t="s">
        <v>12</v>
      </c>
      <c r="J8" s="11">
        <f>(9*10^5*$C$3)/$C$4</f>
        <v>900000000</v>
      </c>
      <c r="K8" s="11">
        <f>(10*10^5*$C$3)/$C$4</f>
        <v>1000000000</v>
      </c>
      <c r="M8" s="10" t="s">
        <v>12</v>
      </c>
      <c r="N8" s="11">
        <f>(2*10^5*$C$3)/$C$4</f>
        <v>200000000</v>
      </c>
      <c r="O8" s="11">
        <f>(7*10^5*$C$3)/$C$4</f>
        <v>700000000</v>
      </c>
    </row>
    <row r="9" ht="12.75" customHeight="1">
      <c r="A9" s="10" t="s">
        <v>13</v>
      </c>
      <c r="B9" s="11">
        <f>(4*10^6*$C$3)/$C$4</f>
        <v>4000000000</v>
      </c>
      <c r="C9" s="11">
        <f t="shared" si="1"/>
        <v>1000000000</v>
      </c>
      <c r="E9" s="10" t="s">
        <v>13</v>
      </c>
      <c r="F9" s="11">
        <f>(11*10^5*$C$3)/$C$4</f>
        <v>1100000000</v>
      </c>
      <c r="G9" s="11">
        <f>(9*10^5*$C$3)/$C$4</f>
        <v>900000000</v>
      </c>
      <c r="I9" s="10" t="s">
        <v>13</v>
      </c>
      <c r="J9" s="11">
        <f>(3*10^5*$C$3)/$C$4</f>
        <v>300000000</v>
      </c>
      <c r="K9" s="11">
        <f t="shared" ref="K9:K10" si="2">(8*10^5*$C$3)/$C$4</f>
        <v>800000000</v>
      </c>
      <c r="M9" s="10" t="s">
        <v>13</v>
      </c>
      <c r="N9" s="11">
        <f>(1*10^5*$C$3)/$C$4</f>
        <v>100000000</v>
      </c>
      <c r="O9" s="11">
        <f>(8*10^5*$C$3)/$C$4</f>
        <v>800000000</v>
      </c>
    </row>
    <row r="10" ht="12.75" customHeight="1">
      <c r="A10" s="10" t="s">
        <v>14</v>
      </c>
      <c r="B10" s="11">
        <f>(2*10^6*$C$3)/$C$4</f>
        <v>2000000000</v>
      </c>
      <c r="C10" s="11">
        <f t="shared" si="1"/>
        <v>1000000000</v>
      </c>
      <c r="E10" s="10" t="s">
        <v>14</v>
      </c>
      <c r="F10" s="11">
        <f>(9*10^5*$C$3)/$C$4</f>
        <v>900000000</v>
      </c>
      <c r="G10" s="11">
        <f>(7*10^5*$C$3)/$C$4</f>
        <v>700000000</v>
      </c>
      <c r="I10" s="10" t="s">
        <v>14</v>
      </c>
      <c r="J10" s="11">
        <f>(5*10^5*$C$3)/$C$4</f>
        <v>500000000</v>
      </c>
      <c r="K10" s="11">
        <f t="shared" si="2"/>
        <v>800000000</v>
      </c>
      <c r="M10" s="10" t="s">
        <v>14</v>
      </c>
      <c r="N10" s="11">
        <f>(2*10^5*$C$3)/$C$4</f>
        <v>200000000</v>
      </c>
      <c r="O10" s="11">
        <f>(7*10^5*$C$3)/$C$4</f>
        <v>700000000</v>
      </c>
    </row>
    <row r="11" ht="12.75" customHeight="1">
      <c r="A11" s="12" t="s">
        <v>15</v>
      </c>
      <c r="B11" s="13">
        <f t="shared" ref="B11:C11" si="3">AVERAGE(B8:B10)</f>
        <v>2666666667</v>
      </c>
      <c r="C11" s="13">
        <f t="shared" si="3"/>
        <v>1000000000</v>
      </c>
      <c r="E11" s="12" t="s">
        <v>15</v>
      </c>
      <c r="F11" s="13">
        <f t="shared" ref="F11:G11" si="4">AVERAGE(F8:F10)</f>
        <v>1666666667</v>
      </c>
      <c r="G11" s="13">
        <f t="shared" si="4"/>
        <v>666666666.7</v>
      </c>
      <c r="I11" s="12" t="s">
        <v>15</v>
      </c>
      <c r="J11" s="13">
        <f t="shared" ref="J11:K11" si="5">AVERAGE(J8:J10)</f>
        <v>566666666.7</v>
      </c>
      <c r="K11" s="13">
        <f t="shared" si="5"/>
        <v>866666666.7</v>
      </c>
      <c r="M11" s="12" t="s">
        <v>15</v>
      </c>
      <c r="N11" s="13">
        <f t="shared" ref="N11:O11" si="6">AVERAGE(N8:N10)</f>
        <v>166666666.7</v>
      </c>
      <c r="O11" s="13">
        <f t="shared" si="6"/>
        <v>733333333.3</v>
      </c>
    </row>
    <row r="12" ht="12.75" customHeight="1">
      <c r="A12" s="14" t="s">
        <v>16</v>
      </c>
      <c r="B12" s="13">
        <f t="shared" ref="B12:C12" si="7">STDEV(B8:B10)</f>
        <v>1154700538</v>
      </c>
      <c r="C12" s="13">
        <f t="shared" si="7"/>
        <v>0</v>
      </c>
      <c r="E12" s="14" t="s">
        <v>16</v>
      </c>
      <c r="F12" s="13">
        <f t="shared" ref="F12:G12" si="8">STDEV(F8:F10)</f>
        <v>1159022577</v>
      </c>
      <c r="G12" s="13">
        <f t="shared" si="8"/>
        <v>251661147.8</v>
      </c>
      <c r="I12" s="14" t="s">
        <v>16</v>
      </c>
      <c r="J12" s="13">
        <f t="shared" ref="J12:K12" si="9">STDEV(J8:J10)</f>
        <v>305505046.3</v>
      </c>
      <c r="K12" s="13">
        <f t="shared" si="9"/>
        <v>115470053.8</v>
      </c>
      <c r="M12" s="14" t="s">
        <v>16</v>
      </c>
      <c r="N12" s="13">
        <f t="shared" ref="N12:O12" si="10">STDEV(N8:N10)</f>
        <v>57735026.92</v>
      </c>
      <c r="O12" s="13">
        <f t="shared" si="10"/>
        <v>57735026.92</v>
      </c>
    </row>
    <row r="13" ht="12.75" customHeight="1"/>
    <row r="14" ht="12.75" customHeight="1"/>
    <row r="15" ht="12.75" customHeight="1">
      <c r="A15" s="15"/>
      <c r="B15" s="9" t="s">
        <v>17</v>
      </c>
      <c r="C15" s="9" t="s">
        <v>17</v>
      </c>
      <c r="E15" s="15"/>
      <c r="F15" s="9" t="s">
        <v>17</v>
      </c>
      <c r="G15" s="9" t="s">
        <v>17</v>
      </c>
      <c r="I15" s="15"/>
      <c r="J15" s="9" t="s">
        <v>17</v>
      </c>
      <c r="K15" s="9" t="s">
        <v>17</v>
      </c>
      <c r="M15" s="15"/>
      <c r="N15" s="9" t="s">
        <v>17</v>
      </c>
      <c r="O15" s="9" t="s">
        <v>17</v>
      </c>
    </row>
    <row r="16" ht="12.75" customHeight="1">
      <c r="A16" s="16" t="s">
        <v>15</v>
      </c>
      <c r="B16" s="17">
        <f t="shared" ref="B16:C16" si="11">LOG(B11)</f>
        <v>9.425968732</v>
      </c>
      <c r="C16" s="17">
        <f t="shared" si="11"/>
        <v>9</v>
      </c>
      <c r="E16" s="16" t="s">
        <v>15</v>
      </c>
      <c r="F16" s="17">
        <f t="shared" ref="F16:G16" si="12">LOG(F11)</f>
        <v>9.22184875</v>
      </c>
      <c r="G16" s="17">
        <f t="shared" si="12"/>
        <v>8.823908741</v>
      </c>
      <c r="I16" s="16" t="s">
        <v>15</v>
      </c>
      <c r="J16" s="17">
        <f t="shared" ref="J16:K16" si="13">LOG(J11)</f>
        <v>8.753327667</v>
      </c>
      <c r="K16" s="17">
        <f t="shared" si="13"/>
        <v>8.937852093</v>
      </c>
      <c r="M16" s="16" t="s">
        <v>15</v>
      </c>
      <c r="N16" s="17">
        <f t="shared" ref="N16:O16" si="14">LOG(N11)</f>
        <v>8.22184875</v>
      </c>
      <c r="O16" s="17">
        <f t="shared" si="14"/>
        <v>8.865301426</v>
      </c>
    </row>
    <row r="17" ht="12.75" customHeight="1">
      <c r="A17" s="14" t="s">
        <v>16</v>
      </c>
      <c r="B17" s="17">
        <f>LOG(B12)</f>
        <v>9.062469368</v>
      </c>
      <c r="C17" s="17">
        <v>0.0</v>
      </c>
      <c r="E17" s="14" t="s">
        <v>16</v>
      </c>
      <c r="F17" s="17">
        <f t="shared" ref="F17:G17" si="15">LOG(F12)</f>
        <v>9.064091896</v>
      </c>
      <c r="G17" s="17">
        <f t="shared" si="15"/>
        <v>8.400816173</v>
      </c>
      <c r="I17" s="14" t="s">
        <v>16</v>
      </c>
      <c r="J17" s="17">
        <f t="shared" ref="J17:K17" si="16">LOG(J12)</f>
        <v>8.485018388</v>
      </c>
      <c r="K17" s="17">
        <f t="shared" si="16"/>
        <v>8.062469368</v>
      </c>
      <c r="M17" s="14" t="s">
        <v>16</v>
      </c>
      <c r="N17" s="17">
        <f t="shared" ref="N17:O17" si="17">LOG(N12)</f>
        <v>7.761439373</v>
      </c>
      <c r="O17" s="17">
        <f t="shared" si="17"/>
        <v>7.761439373</v>
      </c>
    </row>
    <row r="18" ht="12.75" customHeight="1"/>
    <row r="19" ht="12.75" customHeight="1"/>
    <row r="20" ht="12.75" customHeight="1"/>
    <row r="21" ht="12.75" customHeight="1">
      <c r="A21" s="15" t="s">
        <v>4</v>
      </c>
      <c r="B21" s="9" t="s">
        <v>10</v>
      </c>
      <c r="C21" s="9" t="s">
        <v>11</v>
      </c>
    </row>
    <row r="22" ht="12.75" customHeight="1">
      <c r="A22" s="16" t="s">
        <v>15</v>
      </c>
      <c r="B22" s="18">
        <f t="shared" ref="B22:C22" si="18">AVERAGE(B16,F16,J16,N16)</f>
        <v>8.905748475</v>
      </c>
      <c r="C22" s="18">
        <f t="shared" si="18"/>
        <v>8.906765565</v>
      </c>
    </row>
    <row r="23" ht="12.75" customHeight="1">
      <c r="A23" s="14" t="s">
        <v>16</v>
      </c>
      <c r="B23" s="18">
        <f t="shared" ref="B23:C23" si="19">_xlfn.STDEV.P(B16,F16,J16,N16)</f>
        <v>0.4640849698</v>
      </c>
      <c r="C23" s="18">
        <f t="shared" si="19"/>
        <v>0.06753436202</v>
      </c>
    </row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3:B3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5.0"/>
    <col customWidth="1" min="3" max="4" width="10.71"/>
    <col customWidth="1" min="5" max="5" width="18.0"/>
    <col customWidth="1" min="6" max="6" width="14.14"/>
    <col customWidth="1" min="7" max="26" width="10.71"/>
  </cols>
  <sheetData>
    <row r="1" ht="12.75" customHeight="1"/>
    <row r="2" ht="12.75" customHeight="1"/>
    <row r="3" ht="12.75" customHeight="1">
      <c r="B3" s="19"/>
      <c r="C3" s="20" t="s">
        <v>18</v>
      </c>
      <c r="D3" s="20" t="s">
        <v>11</v>
      </c>
      <c r="E3" s="20" t="s">
        <v>19</v>
      </c>
      <c r="F3" s="20" t="s">
        <v>20</v>
      </c>
    </row>
    <row r="4" ht="12.75" customHeight="1">
      <c r="B4" s="21" t="s">
        <v>21</v>
      </c>
      <c r="C4" s="19">
        <v>8.747560040677712</v>
      </c>
      <c r="D4" s="19">
        <v>8.809998559821127</v>
      </c>
      <c r="E4" s="19">
        <v>0.25713204312696647</v>
      </c>
      <c r="F4" s="19">
        <v>0.14842249032538224</v>
      </c>
    </row>
    <row r="5" ht="12.75" customHeight="1">
      <c r="B5" s="21" t="s">
        <v>22</v>
      </c>
      <c r="C5" s="22">
        <v>8.74971008361819</v>
      </c>
      <c r="D5" s="22">
        <v>8.895326192434336</v>
      </c>
      <c r="E5" s="22">
        <v>0.19352460504017469</v>
      </c>
      <c r="F5" s="22">
        <v>0.08275945847520604</v>
      </c>
    </row>
    <row r="6" ht="12.75" customHeight="1">
      <c r="B6" s="21" t="s">
        <v>23</v>
      </c>
      <c r="C6" s="22">
        <v>8.905748474540902</v>
      </c>
      <c r="D6" s="22">
        <v>8.906765565074505</v>
      </c>
      <c r="E6" s="19">
        <v>0.46408496982886654</v>
      </c>
      <c r="F6" s="22">
        <v>0.06753436202330777</v>
      </c>
    </row>
    <row r="7" ht="12.75" customHeight="1">
      <c r="B7" s="20" t="s">
        <v>24</v>
      </c>
      <c r="C7" s="22">
        <v>9.193436327994394</v>
      </c>
      <c r="D7" s="22">
        <v>9.225772496747986</v>
      </c>
      <c r="E7" s="19">
        <v>0.6657802788676959</v>
      </c>
      <c r="F7" s="19">
        <v>0.3392030754761495</v>
      </c>
    </row>
    <row r="8" ht="12.75" customHeight="1">
      <c r="B8" s="20"/>
      <c r="E8" s="19"/>
    </row>
    <row r="9" ht="12.75" customHeight="1">
      <c r="B9" s="23"/>
    </row>
    <row r="10" ht="12.75" customHeight="1"/>
    <row r="11" ht="12.75" customHeight="1">
      <c r="B11" s="20"/>
    </row>
    <row r="12" ht="12.75" customHeight="1">
      <c r="B12" s="23"/>
    </row>
    <row r="13" ht="12.75" customHeight="1"/>
    <row r="14" ht="12.75" customHeight="1">
      <c r="B14" s="20"/>
    </row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2025-04-24T02:07:01Z</dcterms:created>
  <dc:creator>Antonia Arango Durango</dc:creator>
</cp:coreProperties>
</file>